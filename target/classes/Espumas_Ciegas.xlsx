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amue\Desktop\Otayco\programa-costos-proveedores-espumas\src\main\resources\"/>
    </mc:Choice>
  </mc:AlternateContent>
  <xr:revisionPtr revIDLastSave="0" documentId="13_ncr:1_{32A317E4-7EAE-4DCA-A0A9-E3862E0EB4AE}" xr6:coauthVersionLast="47" xr6:coauthVersionMax="47" xr10:uidLastSave="{00000000-0000-0000-0000-000000000000}"/>
  <bookViews>
    <workbookView xWindow="-108" yWindow="-108" windowWidth="30936" windowHeight="17496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78" i="1" l="1"/>
  <c r="I712" i="1"/>
  <c r="I581" i="1"/>
  <c r="I577" i="1"/>
  <c r="I533" i="1"/>
  <c r="I532" i="1"/>
  <c r="I531" i="1"/>
  <c r="I530" i="1"/>
  <c r="I527" i="1"/>
  <c r="I525" i="1"/>
  <c r="I505" i="1"/>
  <c r="I503" i="1"/>
  <c r="I501" i="1"/>
  <c r="I499" i="1"/>
  <c r="I446" i="1"/>
  <c r="I445" i="1"/>
  <c r="I444" i="1"/>
  <c r="I443" i="1"/>
  <c r="I442" i="1"/>
  <c r="I409" i="1"/>
  <c r="I408" i="1"/>
  <c r="I391" i="1"/>
  <c r="I364" i="1"/>
  <c r="I362" i="1"/>
  <c r="I309" i="1"/>
  <c r="I308" i="1"/>
  <c r="I288" i="1"/>
  <c r="I272" i="1"/>
  <c r="I267" i="1"/>
  <c r="I229" i="1"/>
  <c r="I228" i="1"/>
  <c r="I227" i="1"/>
  <c r="I226" i="1"/>
  <c r="I216" i="1"/>
  <c r="I215" i="1"/>
  <c r="I211" i="1"/>
  <c r="I193" i="1"/>
  <c r="I179" i="1"/>
  <c r="I176" i="1"/>
  <c r="I175" i="1"/>
  <c r="I169" i="1"/>
  <c r="I168" i="1"/>
  <c r="I167" i="1"/>
  <c r="I166" i="1"/>
  <c r="I162" i="1"/>
  <c r="I161" i="1"/>
  <c r="I160" i="1"/>
  <c r="I159" i="1"/>
  <c r="I137" i="1"/>
  <c r="I135" i="1"/>
  <c r="I128" i="1"/>
  <c r="I127" i="1"/>
  <c r="I126" i="1"/>
  <c r="I122" i="1"/>
  <c r="I121" i="1"/>
  <c r="I106" i="1"/>
  <c r="I105" i="1"/>
  <c r="I75" i="1"/>
  <c r="I69" i="1"/>
  <c r="I63" i="1"/>
  <c r="I62" i="1"/>
  <c r="I57" i="1"/>
  <c r="I56" i="1"/>
  <c r="I54" i="1"/>
  <c r="I47" i="1"/>
  <c r="I45" i="1"/>
  <c r="I39" i="1"/>
  <c r="I38" i="1"/>
  <c r="I36" i="1"/>
  <c r="I34" i="1"/>
  <c r="I28" i="1"/>
  <c r="I27" i="1"/>
  <c r="I24" i="1"/>
  <c r="I15" i="1"/>
</calcChain>
</file>

<file path=xl/sharedStrings.xml><?xml version="1.0" encoding="utf-8"?>
<sst xmlns="http://schemas.openxmlformats.org/spreadsheetml/2006/main" count="3932" uniqueCount="602">
  <si>
    <t>Stratocel = FoamPack, Policel 18 = FLEX</t>
  </si>
  <si>
    <t>TABLA DE MEDIDAS DE PIEZAS CIEGAS DE ESPUMA</t>
  </si>
  <si>
    <t>Fecha:</t>
  </si>
  <si>
    <t>01.02.22</t>
  </si>
  <si>
    <t>Rev:</t>
  </si>
  <si>
    <t>04.04.25</t>
  </si>
  <si>
    <t xml:space="preserve"> </t>
  </si>
  <si>
    <t>Medidas en centímetros</t>
  </si>
  <si>
    <t>CLIENTE</t>
  </si>
  <si>
    <t>LARGO</t>
  </si>
  <si>
    <t>ANCHO</t>
  </si>
  <si>
    <t>GRUESO</t>
  </si>
  <si>
    <t>UNIDADES</t>
  </si>
  <si>
    <t xml:space="preserve">COLORES </t>
  </si>
  <si>
    <t>IMPORTE UD.</t>
  </si>
  <si>
    <t>FECHA</t>
  </si>
  <si>
    <t>DENOMINACION DE LA ESPUMA POR PARTE DEL PROVEEDOR</t>
  </si>
  <si>
    <t>TIPO DE ESPUMA</t>
  </si>
  <si>
    <t>Prov.</t>
  </si>
  <si>
    <t>JJP Hospitalaria</t>
  </si>
  <si>
    <t>20.10.22</t>
  </si>
  <si>
    <t>Pieza ciega de espuma fabricada en foam LD color balnco/gris</t>
  </si>
  <si>
    <t>FOAM PACK</t>
  </si>
  <si>
    <t>Poliembalajes</t>
  </si>
  <si>
    <t>RCR Box</t>
  </si>
  <si>
    <t>29.04.24</t>
  </si>
  <si>
    <t>Pieza de espuma ciega en EVJ45</t>
  </si>
  <si>
    <t>POLIETILENO</t>
  </si>
  <si>
    <t>Cutting Partner</t>
  </si>
  <si>
    <t>Bench Works Leather</t>
  </si>
  <si>
    <t>12.12.22</t>
  </si>
  <si>
    <t>Pieza ciega de espuma fabricada en Poliuretano de 20 Kg/m3 en color Gris</t>
  </si>
  <si>
    <t>POLIURETANO</t>
  </si>
  <si>
    <t>Impursa</t>
  </si>
  <si>
    <t>Jaren Piel</t>
  </si>
  <si>
    <t>23.12.22</t>
  </si>
  <si>
    <t>Pieza ciega de espuma fabricada en Poliuretano de 52 Kg/m3, forma de circulo</t>
  </si>
  <si>
    <t>El Trote Piel</t>
  </si>
  <si>
    <t>21.04.23</t>
  </si>
  <si>
    <t>Pieza cilindrica en Poliuretano 25 kg/m3</t>
  </si>
  <si>
    <t>POLIURETANO DURO</t>
  </si>
  <si>
    <t>16.03.23</t>
  </si>
  <si>
    <t>Polene</t>
  </si>
  <si>
    <t>04.04.24</t>
  </si>
  <si>
    <t>Pieza de Espuma Ciega en Poliuretano 25 kg/m3</t>
  </si>
  <si>
    <t>Tespol</t>
  </si>
  <si>
    <t>Pieza de Espuma Ciega en Policel NR24 (blanco o negro)</t>
  </si>
  <si>
    <t>26.04.24</t>
  </si>
  <si>
    <t>Pieza de Espuma Ciega en Poliuretano Aglomerado (Densidad 100 kg/m3)</t>
  </si>
  <si>
    <t>Tepol Sur</t>
  </si>
  <si>
    <t>31.01.25</t>
  </si>
  <si>
    <t>Tepolsur</t>
  </si>
  <si>
    <t>26.02.25</t>
  </si>
  <si>
    <t>Pieza de Espuma NR24 (Foam Pack)</t>
  </si>
  <si>
    <t>24.02.25</t>
  </si>
  <si>
    <t>Pieza de Espuma Ciega en Stratocell</t>
  </si>
  <si>
    <t>Hermepiel</t>
  </si>
  <si>
    <t>Espuma ciega en poliuretano 25 kg/m3</t>
  </si>
  <si>
    <t>21.12.22</t>
  </si>
  <si>
    <t>Cutting Partenr</t>
  </si>
  <si>
    <t>13.12.22</t>
  </si>
  <si>
    <t>17.11.21</t>
  </si>
  <si>
    <t>Microlen 45 Kg/m3 pieza en forma de Riñon</t>
  </si>
  <si>
    <t>25.10.21</t>
  </si>
  <si>
    <t>16.11.21</t>
  </si>
  <si>
    <t>Cima Leather</t>
  </si>
  <si>
    <t>19.04.21</t>
  </si>
  <si>
    <t xml:space="preserve">En policel AB50 pieza en forma de riñon con 1 canelador </t>
  </si>
  <si>
    <t>En Poliuretano D25 Kg/m3 Color Azul</t>
  </si>
  <si>
    <t>En Poliuretano D25 Kg/m3 Color Gris</t>
  </si>
  <si>
    <t>CuttingPartner</t>
  </si>
  <si>
    <t>En Poliuretano D30 Kg/m3 Color Amarillo</t>
  </si>
  <si>
    <t>29.07.24</t>
  </si>
  <si>
    <t>30.07.24</t>
  </si>
  <si>
    <t>04.04.19</t>
  </si>
  <si>
    <t>Son piezas ciegas, con una forma, sin ningun calado</t>
  </si>
  <si>
    <t>Manipol</t>
  </si>
  <si>
    <t>08.04.21</t>
  </si>
  <si>
    <t>Pieza forma de Riñon en P45 Microlen 45 Kg/m3</t>
  </si>
  <si>
    <t>20.04.19</t>
  </si>
  <si>
    <t>05.04.20</t>
  </si>
  <si>
    <t>12.09.20</t>
  </si>
  <si>
    <t>Pieza forma de Riñon en P3 (No reticulado en Densidad 45 kg/m3)</t>
  </si>
  <si>
    <t>18.02.22</t>
  </si>
  <si>
    <t>19.12.22</t>
  </si>
  <si>
    <t>22.11.21</t>
  </si>
  <si>
    <t>Son piezas ciegas, con una forma, sin ningun calado en Microlen 45</t>
  </si>
  <si>
    <t>25.03.21</t>
  </si>
  <si>
    <t>Son piezas ciegas, con una forma, sin ningun calado En Policel 18/P2 (No reticulado de 30 kg/m3)</t>
  </si>
  <si>
    <t>FLEX</t>
  </si>
  <si>
    <t>25.01.20</t>
  </si>
  <si>
    <t>Son piezas ciegas, con una forma, sin ningun calado En Policel 18</t>
  </si>
  <si>
    <t>Bench Works</t>
  </si>
  <si>
    <t>11.04.23</t>
  </si>
  <si>
    <t>Pieza ciega, con los laterales semicirculares de Color Gris 20 kg/m3.</t>
  </si>
  <si>
    <t>Son piezas ciegas, con una forma, sin ningun calado En P45Antracita</t>
  </si>
  <si>
    <t>Algo Suena</t>
  </si>
  <si>
    <t>Pieza Ciega en Microlen P30</t>
  </si>
  <si>
    <t>17.01.22</t>
  </si>
  <si>
    <t>08.06.22</t>
  </si>
  <si>
    <t>Pieza ciega, con los laterales semicirculares fabricado en Poliuretano PU Blanco/Azul de 25 Kg/m3</t>
  </si>
  <si>
    <t>POLIUTERANO</t>
  </si>
  <si>
    <t>30.05.22</t>
  </si>
  <si>
    <t>Pieza ciega, con los laterales semicirculares fabricado en Poliuretano PU Gris/Blanca de 20 Kg/m3</t>
  </si>
  <si>
    <t>27.05.22</t>
  </si>
  <si>
    <t>Pieza ciega, con los laterales semicirculares fabricado en Microlen P45</t>
  </si>
  <si>
    <t>Pieza ciega, con los laterales semicirculares fabricado en Poliuretano PU Gris de 20 Kg/m3</t>
  </si>
  <si>
    <t>Dimopel</t>
  </si>
  <si>
    <t>17.01.23</t>
  </si>
  <si>
    <t>Pieza ciega rectangular en Foam Pack 20-25 kg/m3 color blanco</t>
  </si>
  <si>
    <t>18.01.23</t>
  </si>
  <si>
    <t>Pieza ciega rectangular en Foam LD color azul</t>
  </si>
  <si>
    <t>23.01.23</t>
  </si>
  <si>
    <t xml:space="preserve">Pieza ciega rectangular en Foam Pack 20-25 kg/m3 color </t>
  </si>
  <si>
    <t>Pieza ciega, fabricado en Poliuretano de 52 Kg/m3, forma ovalada</t>
  </si>
  <si>
    <t>Pieza ciega, fabricado en Poliuretano de 40 Kg/m3, forma ovalada</t>
  </si>
  <si>
    <t>Pieza ciega, fabricado en Poliuretano de 45 Kg/m3, forma ovalada</t>
  </si>
  <si>
    <t>22.12.22</t>
  </si>
  <si>
    <t>Obiform</t>
  </si>
  <si>
    <t>20.12.22</t>
  </si>
  <si>
    <t>Inasor</t>
  </si>
  <si>
    <t>29.09.23</t>
  </si>
  <si>
    <t>Don Puro</t>
  </si>
  <si>
    <t>Poliuretano Densidad 40 Kg/m3, es la forma de una pieza</t>
  </si>
  <si>
    <t>DHV Technology</t>
  </si>
  <si>
    <t>12.01.22</t>
  </si>
  <si>
    <t>Pieza Ciega en Ethafoam color Blanco E220, Densidad 40 kg/m3</t>
  </si>
  <si>
    <t>FOAM PACK DURO</t>
  </si>
  <si>
    <t>Idea Tempo</t>
  </si>
  <si>
    <t>04.01.23</t>
  </si>
  <si>
    <t>Pieza ciega de espuma en material viscoelastico 42 kg/m3 en forma de trebol</t>
  </si>
  <si>
    <t>VISCOELASTICO</t>
  </si>
  <si>
    <t>Flex 2000</t>
  </si>
  <si>
    <t>13.01.23</t>
  </si>
  <si>
    <t>Pieza ciega de espuma en material viscoelastico 55 kg/m3 en forma de trebol</t>
  </si>
  <si>
    <t>Pieza ciega de espuma en poliuretano 30 kg/m3</t>
  </si>
  <si>
    <t>Pieza ciega de espuma en poliuretano 30 kg/m4</t>
  </si>
  <si>
    <t>Pieza ciega de espuma en poliuretano 30 kg/m5</t>
  </si>
  <si>
    <t>Pieza ciega de espuma en poliuretano 30 kg/m6</t>
  </si>
  <si>
    <t>Pieza ciega de espuma en poliuretano 30 kg/m7</t>
  </si>
  <si>
    <t>Pieza ciega de esouma en Policel P2 color negro en forma de trebol</t>
  </si>
  <si>
    <t>Pieza ciega de espuma rectangular en Foam pack 20-25 kg/m3 color blanco</t>
  </si>
  <si>
    <t>Pieza ciega de espuma rectangular en Foam LD color azul</t>
  </si>
  <si>
    <t xml:space="preserve">Pieza ciega de espuma rectangular en Foam pack 20-25 kg/m3 color </t>
  </si>
  <si>
    <t>Soofa</t>
  </si>
  <si>
    <t>17.11.22</t>
  </si>
  <si>
    <t xml:space="preserve">Pieza ciega circular fabricada en Flex negro </t>
  </si>
  <si>
    <t>Perez Alvarez</t>
  </si>
  <si>
    <t>02.04.25</t>
  </si>
  <si>
    <t>Pieza ciega en forma de trebol en EVJ45 Negro</t>
  </si>
  <si>
    <t>Artesanos Marroquineros</t>
  </si>
  <si>
    <t>22.10.20</t>
  </si>
  <si>
    <t>Tiene Forma de Tridente en Policel AB50</t>
  </si>
  <si>
    <t>04.07.22</t>
  </si>
  <si>
    <t>Artilab</t>
  </si>
  <si>
    <t>27.07.20</t>
  </si>
  <si>
    <t>Forma de Cilindro en Poliuretano Gris de 20 Kg/m3</t>
  </si>
  <si>
    <t>28.09.20</t>
  </si>
  <si>
    <t>09.11.20</t>
  </si>
  <si>
    <t>12.11.20</t>
  </si>
  <si>
    <t>EGG</t>
  </si>
  <si>
    <t>Espuma Poliuretano de 20 Kg/m3</t>
  </si>
  <si>
    <t>Lucrin</t>
  </si>
  <si>
    <t>10.10.24</t>
  </si>
  <si>
    <t>Pieza en Poliuretano de 25 kg/m3</t>
  </si>
  <si>
    <t>Pieza en viscoelástico de 85kg/m3</t>
  </si>
  <si>
    <t>09.10.24</t>
  </si>
  <si>
    <t>Pieza en poliuretano 25kg/m3</t>
  </si>
  <si>
    <t>Juntas Besma</t>
  </si>
  <si>
    <t>11.09.24</t>
  </si>
  <si>
    <t>Pieza en Policel EPDM110 negro</t>
  </si>
  <si>
    <t>Coanda</t>
  </si>
  <si>
    <t>31.08.22</t>
  </si>
  <si>
    <t>Pieza Ciega en Microlen P30 Kg/M3</t>
  </si>
  <si>
    <t>02.03.22</t>
  </si>
  <si>
    <t>Talleres páez</t>
  </si>
  <si>
    <t>11.07.24</t>
  </si>
  <si>
    <t>Pieza ciega en EVJ45</t>
  </si>
  <si>
    <t>cutting partner</t>
  </si>
  <si>
    <t>Creaimper</t>
  </si>
  <si>
    <t>31.07.20</t>
  </si>
  <si>
    <t>Una pieza con forma de circunferencia en en Foam 25 Kg C: Gris Oscuro</t>
  </si>
  <si>
    <t>Una pieza con forma de circunferencia Microlen 30 Kg C: Antracita</t>
  </si>
  <si>
    <t>08.04.22</t>
  </si>
  <si>
    <t xml:space="preserve">Tira de Espuma En Microlen P45 color antracita. Adhesivo plástico por 1 cara. </t>
  </si>
  <si>
    <t>Pieza ciega rectancular con 2 bordes redondeados en Foam Pack 20-25 kg/m3 color blanco</t>
  </si>
  <si>
    <t>Pieza ciega rectancular con 2 bordes redondeados en Foam LD color azul</t>
  </si>
  <si>
    <t xml:space="preserve">Pieza ciega rectancular con 2 bordes redondeados en Foam Pack 20-25 kg/m3 color </t>
  </si>
  <si>
    <t>28.01.22</t>
  </si>
  <si>
    <t>Forma de Castillo en Poliuretano Gris de 20 Kg/m3</t>
  </si>
  <si>
    <t>10.11.20</t>
  </si>
  <si>
    <t>Telefonica</t>
  </si>
  <si>
    <t>31.03.23</t>
  </si>
  <si>
    <t>Bordas Chinchurreta</t>
  </si>
  <si>
    <t>06.09.23</t>
  </si>
  <si>
    <t>En Poliurteno de 20 Kg/m3 sin adhesivo</t>
  </si>
  <si>
    <t>Cutti</t>
  </si>
  <si>
    <t>07.09.23</t>
  </si>
  <si>
    <t>En Poliurteno de 20 Kg/m3 SIN adhesivo</t>
  </si>
  <si>
    <t>En Poliurteno de 20 Kg/m3 con adhesivo</t>
  </si>
  <si>
    <t>Pieza Ciega en Microlen P45 HD</t>
  </si>
  <si>
    <t>Microlen  45 Kg/m3  (P45 HD) pieza Ciega</t>
  </si>
  <si>
    <t>Crambo</t>
  </si>
  <si>
    <t>01.07.22</t>
  </si>
  <si>
    <t>29.11.22</t>
  </si>
  <si>
    <t>Aferleather</t>
  </si>
  <si>
    <t>14.12.23</t>
  </si>
  <si>
    <t xml:space="preserve">Potez </t>
  </si>
  <si>
    <t>04.04.22</t>
  </si>
  <si>
    <t>Espuma ciega Foam Pack color gris densidad 20 kg/m3, con cinta doble cara para pegado</t>
  </si>
  <si>
    <t>Espuma ciega Microlen P30 color Antracita densidad 30 kg/m3, con cinta doble cara para pegado</t>
  </si>
  <si>
    <t>24.10.24</t>
  </si>
  <si>
    <t>Pieza Ciega en Poliuretano de 20 Kg/m3</t>
  </si>
  <si>
    <t>28.06.21</t>
  </si>
  <si>
    <t xml:space="preserve">En Poliuretano de 30 Kg/m3, formado por 2 piezas </t>
  </si>
  <si>
    <t>En Poliuretano de 30 Kg/m3, formado por 2 piezas Policel E25XGris</t>
  </si>
  <si>
    <t>10.12.24</t>
  </si>
  <si>
    <t xml:space="preserve">En Poliuretano de 25 Kg/m3, formado por 2 piezas </t>
  </si>
  <si>
    <t>Humanox</t>
  </si>
  <si>
    <t>29.01.21</t>
  </si>
  <si>
    <t>En Policel EV50 Blanco/Negro</t>
  </si>
  <si>
    <t>02.02.21</t>
  </si>
  <si>
    <t>En Policel EV50 Azul/Amarillo</t>
  </si>
  <si>
    <t xml:space="preserve">En Policel EV50 Azul/Amarillo </t>
  </si>
  <si>
    <t>16.03.21</t>
  </si>
  <si>
    <t>En Policel AR3006 en Gris</t>
  </si>
  <si>
    <t>13.03.23</t>
  </si>
  <si>
    <t>Pieza cilindrica en Poliuretano 30 kg/M3</t>
  </si>
  <si>
    <t>Pieza cilindrica en Foam negro 45 kg/M3</t>
  </si>
  <si>
    <t>10.03.23</t>
  </si>
  <si>
    <t>Pieza cilindrica en Policel EX28 gris</t>
  </si>
  <si>
    <t>16.11.22</t>
  </si>
  <si>
    <t>Flebi</t>
  </si>
  <si>
    <t>26.09.22</t>
  </si>
  <si>
    <t>Pieza Ciega en Foam LD color blanco</t>
  </si>
  <si>
    <t>Talleres Garrucho</t>
  </si>
  <si>
    <t>16.02.23</t>
  </si>
  <si>
    <t>Espuma Microlen P30 y en Espuma P2 (No Polietileno no Reticulado 30 kg/m3)</t>
  </si>
  <si>
    <t>12.09.24</t>
  </si>
  <si>
    <t>Pieza troquelada en Synergy P3 o Microlen P45</t>
  </si>
  <si>
    <t>28.07.22</t>
  </si>
  <si>
    <t>Teléfonica</t>
  </si>
  <si>
    <t>Aerotecnic</t>
  </si>
  <si>
    <t>25.05.20</t>
  </si>
  <si>
    <t>LD Blanco, Densidas 30 Kg/m3, son Tacos de espuma de apoyo c/ 1 ranura</t>
  </si>
  <si>
    <t>FOAM PACk</t>
  </si>
  <si>
    <t>22.05.20</t>
  </si>
  <si>
    <t>Foam Pack, son Tacos de espuma de apoyo c/ 1 ranura</t>
  </si>
  <si>
    <t>Noruco</t>
  </si>
  <si>
    <t>01.02.21</t>
  </si>
  <si>
    <t>Poliuretano de 25 Kg/m3 en Gris autoadhesivada</t>
  </si>
  <si>
    <t>Poliuretano de 40 Kg/m3 en Gris autoadhesivada</t>
  </si>
  <si>
    <t>04.07.23</t>
  </si>
  <si>
    <t>La Claqueta</t>
  </si>
  <si>
    <t>Pieza troquelada en LD Blanco</t>
  </si>
  <si>
    <t>05.08.20</t>
  </si>
  <si>
    <t>Crambo AudioV.</t>
  </si>
  <si>
    <t>Pap Tecnos</t>
  </si>
  <si>
    <t>07.03.25</t>
  </si>
  <si>
    <t xml:space="preserve">Espuma precortada en Poliuretano </t>
  </si>
  <si>
    <t>Panaro</t>
  </si>
  <si>
    <t>10.03.25</t>
  </si>
  <si>
    <t>Bikelecing</t>
  </si>
  <si>
    <t>23.11.20</t>
  </si>
  <si>
    <t>Forma de Asiento, Base y Respaldo En policel AB45, En Dos piezas</t>
  </si>
  <si>
    <t>18.11.20</t>
  </si>
  <si>
    <t>Forma de Asiento, Base y Respaldo En policel AB45, Una sola pieza</t>
  </si>
  <si>
    <t>Forma de Asiento, Base y Respaldo En EVJ45, En dos piezas</t>
  </si>
  <si>
    <t>Forma de Asiento, Base y Respaldo En EVJ45, Un sola pieza</t>
  </si>
  <si>
    <t>Industrias Ta Torre Marquez</t>
  </si>
  <si>
    <t>22.02.23</t>
  </si>
  <si>
    <t>Pieza ciega en Microlen P45</t>
  </si>
  <si>
    <t>10.04.23</t>
  </si>
  <si>
    <t>Microlen 30 Kg/m3 pieza Ciega</t>
  </si>
  <si>
    <t>07.02.22</t>
  </si>
  <si>
    <t>15.02.22</t>
  </si>
  <si>
    <t>Indra</t>
  </si>
  <si>
    <t>04.08.23</t>
  </si>
  <si>
    <t>Pieza ciega en Foam Pack</t>
  </si>
  <si>
    <t>30.08.23</t>
  </si>
  <si>
    <t>14.02.22</t>
  </si>
  <si>
    <t>Optima Ingenieria</t>
  </si>
  <si>
    <t>02.10.24</t>
  </si>
  <si>
    <t xml:space="preserve">Pieza ciega en color antracita en Flex </t>
  </si>
  <si>
    <t>Fortia Seguridad</t>
  </si>
  <si>
    <t>07.05.21</t>
  </si>
  <si>
    <t>Espuma de Poliuretano 25 Kg/m3 con adhesivo</t>
  </si>
  <si>
    <t>09.04.23</t>
  </si>
  <si>
    <t>Espuma en policel E25X gris</t>
  </si>
  <si>
    <t>10.05.23</t>
  </si>
  <si>
    <t>Espuma en Poliuretano denidad 25 kg/m3</t>
  </si>
  <si>
    <t>manipol</t>
  </si>
  <si>
    <t>Tornasan</t>
  </si>
  <si>
    <t>21.06.21</t>
  </si>
  <si>
    <t>Espuma PU Azul 25 kg/m3, espuma ciega</t>
  </si>
  <si>
    <t>22.06.21</t>
  </si>
  <si>
    <t>Espuma PU Gris 25 kg/m3, espuma ciega</t>
  </si>
  <si>
    <t>Espuma PU Gris 25 kg/m3, espuma ciega, con esquinas superiores redondeadas</t>
  </si>
  <si>
    <t>Espuma PU Azul 25 kg/m3, espuma ciega, con esquinas superiores redondeadas</t>
  </si>
  <si>
    <t>02.02.23</t>
  </si>
  <si>
    <t>Foam Blanco PL500 (50 Kg/m3) pieza ciega sin ningun mecanizado</t>
  </si>
  <si>
    <t>Microlen P45HD, Densidad 48 Kg/m3</t>
  </si>
  <si>
    <t>12.03.25</t>
  </si>
  <si>
    <t>Pieza Ciega en Flex 30 Kg/M3</t>
  </si>
  <si>
    <t>Espuma de poliuretano precortada</t>
  </si>
  <si>
    <t>Serveiestacio</t>
  </si>
  <si>
    <t>Eleven 600</t>
  </si>
  <si>
    <t>23.01.24</t>
  </si>
  <si>
    <t>Pieza con rebajes en Policel AB65</t>
  </si>
  <si>
    <t>Pieza cienga en EVJ45 color antracita</t>
  </si>
  <si>
    <t>Pieza ciega en P45 Microlen 45 Kg/m3</t>
  </si>
  <si>
    <t>Pieza ciega en P45 Microlen 45 Kg/m4</t>
  </si>
  <si>
    <t>Pieza ciega en P45 Microlen 45 Kg/m5</t>
  </si>
  <si>
    <t>Pieza ciega en P45 Microlen 45 Kg/m6</t>
  </si>
  <si>
    <t>31.05.23</t>
  </si>
  <si>
    <t>En P2 Sinergy (Polietileno No Reticulado D30)</t>
  </si>
  <si>
    <t>21.03.22</t>
  </si>
  <si>
    <t>Espuma ciega de 1 sola pieza en Policel E25X Acabado EGG (En poliuretano de 25 kg/m3)</t>
  </si>
  <si>
    <t>16.03.22</t>
  </si>
  <si>
    <t>Milexia</t>
  </si>
  <si>
    <t>12.09.23</t>
  </si>
  <si>
    <t>Espuma ciega en Policel E20 (Polurietano)</t>
  </si>
  <si>
    <t>31.10.23</t>
  </si>
  <si>
    <t>Pieza de espuma en Flex negro</t>
  </si>
  <si>
    <t>Cutting partner</t>
  </si>
  <si>
    <t>Pieza de espuma en EVJ45</t>
  </si>
  <si>
    <t>06.03.25</t>
  </si>
  <si>
    <t>Policel NR35 Antiestático color Rosa</t>
  </si>
  <si>
    <t>05.03.25</t>
  </si>
  <si>
    <t>FOAMPACK Antiestático color Rosa</t>
  </si>
  <si>
    <t>06.03.26</t>
  </si>
  <si>
    <t>21.07.23</t>
  </si>
  <si>
    <t>Espuma ciega en Poliuretano 20/25 Kg/m3</t>
  </si>
  <si>
    <t>En Foam Pack No Reticulado 20/25 Kg/m3 en blanco</t>
  </si>
  <si>
    <t>LaTorreMarquez</t>
  </si>
  <si>
    <t>25.03.22</t>
  </si>
  <si>
    <t>Espuma ciega Foam Pack color gris densidad 20 kg/m3</t>
  </si>
  <si>
    <t>Microlen 45 Kg/m3 pieza Ciega</t>
  </si>
  <si>
    <t>14.11.22</t>
  </si>
  <si>
    <t>Pieza ciega en Ethafoam antiestático color rosa E-220 densidad 35kg/m3</t>
  </si>
  <si>
    <t>Pieza ciega en AR40CN antiestático color negro densidad 40 kg/m3</t>
  </si>
  <si>
    <t>Lurga</t>
  </si>
  <si>
    <t>21.02.25</t>
  </si>
  <si>
    <t>Policel E25X gris Acabado alverolar o huevo</t>
  </si>
  <si>
    <t>Royal Pianos</t>
  </si>
  <si>
    <t>06.10.23</t>
  </si>
  <si>
    <t>Espuma en Forma de EGGS</t>
  </si>
  <si>
    <t>Vibraequipo</t>
  </si>
  <si>
    <t>14.02.25</t>
  </si>
  <si>
    <t xml:space="preserve">Pieza de huevo en poliuretano de 25Kg/m3 </t>
  </si>
  <si>
    <t>17.02.25</t>
  </si>
  <si>
    <t>18.02.25</t>
  </si>
  <si>
    <t>Pieza de espuma ciega en Poliuretano 20 kg/m3 acabado eggs</t>
  </si>
  <si>
    <t>Pieza de espuma ciega en Foam Pack</t>
  </si>
  <si>
    <t>31.07.23</t>
  </si>
  <si>
    <t>Sinergy P3 Negro (Densidad 45 hg/m3)</t>
  </si>
  <si>
    <t>06.06.24</t>
  </si>
  <si>
    <t>Geniux</t>
  </si>
  <si>
    <t>18.04.23</t>
  </si>
  <si>
    <t>Pieza ciega espuma en Poliuretano 20 kg/m3 color gris</t>
  </si>
  <si>
    <t>Airtificial</t>
  </si>
  <si>
    <t>18.01.24</t>
  </si>
  <si>
    <t>Pieza de espuma en Poliuretano 20 kg/m3</t>
  </si>
  <si>
    <t>Medlumics</t>
  </si>
  <si>
    <t>Pieza de espuma en Stratocell Negro</t>
  </si>
  <si>
    <t>Cutting Parner</t>
  </si>
  <si>
    <t>25.04.24</t>
  </si>
  <si>
    <t>Pieza de espuma en Policel NR25</t>
  </si>
  <si>
    <t>Policel E25X gris</t>
  </si>
  <si>
    <t>15.04.21</t>
  </si>
  <si>
    <t>Pu Gris (Poliuretano de 20 kg/m3), Adhesivada Pieza ciega sin ningun mecanizado</t>
  </si>
  <si>
    <t>24.03.31</t>
  </si>
  <si>
    <t>Fonoacustica</t>
  </si>
  <si>
    <t>12.11.24</t>
  </si>
  <si>
    <t>Espuma ciega de stratocell color antracita</t>
  </si>
  <si>
    <t>03.08,23</t>
  </si>
  <si>
    <t>En Foam Pack No Reticulado 20/25 Kg/m3 en Negro</t>
  </si>
  <si>
    <t>En Flex de 25 Kg/m3 en color Negro</t>
  </si>
  <si>
    <t>MIlexia</t>
  </si>
  <si>
    <t>19.09.23</t>
  </si>
  <si>
    <t>Pieza ciega de espuma en forma de U en stratocell</t>
  </si>
  <si>
    <t>20.09.23</t>
  </si>
  <si>
    <t>Pieza ciega de espuma en forma de U en Foam LD Blanco</t>
  </si>
  <si>
    <t>15.11.23</t>
  </si>
  <si>
    <t>Pieza ciega en Policel NR24 color negro</t>
  </si>
  <si>
    <t>20.11.23</t>
  </si>
  <si>
    <t>Pieza ciega en Foam LD color gris</t>
  </si>
  <si>
    <t>01.08.23</t>
  </si>
  <si>
    <t>Flex de 25 Kg/m3 pieza Ciega</t>
  </si>
  <si>
    <t>En Foam Pack No Reticulado 20/25 Kg/m3 en negro</t>
  </si>
  <si>
    <t>En Flex de 25 KG/M3 en color negro</t>
  </si>
  <si>
    <t>Espuma ciega en Poliretano 20 kg/m3</t>
  </si>
  <si>
    <t>El Pro</t>
  </si>
  <si>
    <t>Lda Audiotech</t>
  </si>
  <si>
    <t>5 + 5</t>
  </si>
  <si>
    <t>01.03.21</t>
  </si>
  <si>
    <t>Son 2 piezas de cantonera en Foam Gris no reticulado</t>
  </si>
  <si>
    <t>AEQ</t>
  </si>
  <si>
    <t>12.05.23</t>
  </si>
  <si>
    <t>Pieza ciega de espuma en Policel AB65</t>
  </si>
  <si>
    <t>03.08.23</t>
  </si>
  <si>
    <t>En Flex de 25 Kg/m3 en Negro</t>
  </si>
  <si>
    <t>Talleres Paez</t>
  </si>
  <si>
    <t>Plancha de espuma en Microlen P45</t>
  </si>
  <si>
    <t>Gnes Innovacion</t>
  </si>
  <si>
    <t>19.05.21</t>
  </si>
  <si>
    <t>Espuma precortada en Poliuretano 25 Kg/m3 color Gris</t>
  </si>
  <si>
    <t>En Flex de 25 Kg/m3 en color negor pieza Ciega</t>
  </si>
  <si>
    <t>Aertec</t>
  </si>
  <si>
    <t>15.05.23</t>
  </si>
  <si>
    <t>Pieza de espuma ciega Microlen 45 kg/M3</t>
  </si>
  <si>
    <t>Pieza de espuma ciega Microlen 30 kg/M3</t>
  </si>
  <si>
    <t>Poliuretano de 20 Kg/m3 acabado EGGS</t>
  </si>
  <si>
    <t>SPT</t>
  </si>
  <si>
    <t>26.12.23</t>
  </si>
  <si>
    <t>Microlen 45 kg/M3 color Antracita (Policel AB50)</t>
  </si>
  <si>
    <t>Microlen 65 kg/M3 color Antracita (Policel AB65)</t>
  </si>
  <si>
    <t>No Reticulado 20 kg/M3 color Negro (Policel NR24)</t>
  </si>
  <si>
    <t>Espuma ciega poliuretano dendidad 20 kg/m3</t>
  </si>
  <si>
    <t>Espuma ciega en Foam LD blanco 20 kg/m3</t>
  </si>
  <si>
    <t>Espuma ciega en stratocell</t>
  </si>
  <si>
    <t>Espuma Ciega en Microlen P30</t>
  </si>
  <si>
    <t>Pieza Ciega en Foma de EGGS, Poliuretano</t>
  </si>
  <si>
    <t>ElPro</t>
  </si>
  <si>
    <t>Espuma PU Gris 25 kg/m3, espuma ciega, con suelo curvada</t>
  </si>
  <si>
    <t>Espuma PU Azul 25 kg/m3, espuma ciega con suelo curvada</t>
  </si>
  <si>
    <t>Espuma ciega en Poliuretano 20 kg/m3</t>
  </si>
  <si>
    <t>Pleyades</t>
  </si>
  <si>
    <t>24.05.23</t>
  </si>
  <si>
    <t>Pieza ciega en Poliretano acabado eggs</t>
  </si>
  <si>
    <t>09.06.23</t>
  </si>
  <si>
    <t>Pieza ciega de espuma en Foam pack</t>
  </si>
  <si>
    <t>28.07.23</t>
  </si>
  <si>
    <t>Crombo</t>
  </si>
  <si>
    <t>ADC SOLUTIONS</t>
  </si>
  <si>
    <t>18.1.23</t>
  </si>
  <si>
    <t>Pieza ciega en Microlen P30</t>
  </si>
  <si>
    <t>Espuma Ciega en Microlen P30 (30 kg/m3)</t>
  </si>
  <si>
    <t>28.09.23</t>
  </si>
  <si>
    <t>Roayal Pianos</t>
  </si>
  <si>
    <t>06.10.12</t>
  </si>
  <si>
    <t>03.04.24</t>
  </si>
  <si>
    <t>Espuma Ciega en Poliuretano 25 kg/m3</t>
  </si>
  <si>
    <t>Embalajes Aguilera</t>
  </si>
  <si>
    <t>Latesys</t>
  </si>
  <si>
    <t>14.09.22</t>
  </si>
  <si>
    <t>Fabricado en Policel E25X gris Solo Tapa, espuma ciega</t>
  </si>
  <si>
    <t>Fabricado en Poliuretano 25 kg/m3 gris cortado a cuchilla</t>
  </si>
  <si>
    <t>Fabricado en Policel E25X gris corte por agua</t>
  </si>
  <si>
    <t>04.10.24</t>
  </si>
  <si>
    <t>Fabricado en EVJ 45 color antracita</t>
  </si>
  <si>
    <t>Pieza ciega en stratocell color antracita</t>
  </si>
  <si>
    <t>30.12.23</t>
  </si>
  <si>
    <t>24.03.23</t>
  </si>
  <si>
    <t>Pieza ciega de espuma Microlen P45</t>
  </si>
  <si>
    <t>17.03.23</t>
  </si>
  <si>
    <t>Pieza Ciega en Forma de EGGS, en Poliuretano</t>
  </si>
  <si>
    <t>GMV</t>
  </si>
  <si>
    <t>02.06.24</t>
  </si>
  <si>
    <t>Poliuretano Color Gris (Densidad 20 Kg/m3)</t>
  </si>
  <si>
    <t>09.05.24</t>
  </si>
  <si>
    <t>Policel EX25 Acabado EGGS (Densidad 25 Kg/m3)</t>
  </si>
  <si>
    <t>Pieza ciega de espuma de medidas 617x457x40 mm en Microlen P30 + pieza egg de medidas 617x457x20 mm en Poliuretano</t>
  </si>
  <si>
    <t>Seabery</t>
  </si>
  <si>
    <t>19.03.25</t>
  </si>
  <si>
    <t>policel E25X gris perfilado alveolar 40/20</t>
  </si>
  <si>
    <t>inasor</t>
  </si>
  <si>
    <t>Espuma ciega en Poliuretano 20 kg/M3</t>
  </si>
  <si>
    <t>Pieza Ciega Acabado EGG</t>
  </si>
  <si>
    <t>Forma de Asiento, Base y Respaldo En policel AB45, De una sola pieza</t>
  </si>
  <si>
    <t>Forma de Asiento, Base y Respaldo En EVJ45, De una sola pieza</t>
  </si>
  <si>
    <t>Espuma Ciega en Microlen P45 HD</t>
  </si>
  <si>
    <t>Pieza Ciega en Ethafoam color Rosa E220, Densidad 30 kg/m3 Antiestática</t>
  </si>
  <si>
    <t>Pieza ciega en AR40CN conductivo color negro densidad 40 kg/m3</t>
  </si>
  <si>
    <t>24.11.22</t>
  </si>
  <si>
    <t>Pieza en Ethafoam en E220 Antiestático color rosa densidad 35 kg/m3</t>
  </si>
  <si>
    <t>25.02.22</t>
  </si>
  <si>
    <t>Pieza Ciega en Policel AB50 (Microlen de 42 Kg/m3)</t>
  </si>
  <si>
    <t>Pieza Ciega en Microlen P45 con un corte pasante en el centro</t>
  </si>
  <si>
    <t>02.03.23</t>
  </si>
  <si>
    <t>Foam Pack color Blanco Densidad 20-25 Kg/m3</t>
  </si>
  <si>
    <t>ADC Solutions</t>
  </si>
  <si>
    <t>22.02.24</t>
  </si>
  <si>
    <t>Pieza ciega en Microlen P45 color antracita</t>
  </si>
  <si>
    <t>05.03.24</t>
  </si>
  <si>
    <t>Pieza ciega EVJ45 en color negro</t>
  </si>
  <si>
    <t>INDRA</t>
  </si>
  <si>
    <t>12.07.23</t>
  </si>
  <si>
    <t>Pieza ciega en Policel E20 gris acabado eggs</t>
  </si>
  <si>
    <t>La Torre Marquez</t>
  </si>
  <si>
    <t>30.03.22</t>
  </si>
  <si>
    <t>Pieza Ciega en Microlen P45 Kg/M3</t>
  </si>
  <si>
    <t>Latorre</t>
  </si>
  <si>
    <t>Pieza de espuma ciega en Poliuretano de 20 kg/m3</t>
  </si>
  <si>
    <t>04.04.23</t>
  </si>
  <si>
    <t>Pieza de espuma ciega en Poliuretano 2o kg/m3 color gris</t>
  </si>
  <si>
    <t>Vertigo Sailing</t>
  </si>
  <si>
    <t>24.04.24</t>
  </si>
  <si>
    <t>Pieza de espuma ciega en Poliuretano 25 kg/m3</t>
  </si>
  <si>
    <t>Poliuretano en acabado alveolar Policel E25X gris</t>
  </si>
  <si>
    <t>07.03.26</t>
  </si>
  <si>
    <t>07.03.27</t>
  </si>
  <si>
    <t>20.03.25</t>
  </si>
  <si>
    <t xml:space="preserve">Poliuretano en acabado alveolar Policel E25X gris de 3 cm + Pieza perfilada de 3 cm </t>
  </si>
  <si>
    <t>Pieza ciega en Policel E25X acabado eggs</t>
  </si>
  <si>
    <t>29.06.23</t>
  </si>
  <si>
    <t>Pieza ciega en Microlen 60 kg/m3</t>
  </si>
  <si>
    <t>26.06.23</t>
  </si>
  <si>
    <t>Pieza ciega en Policel AB65</t>
  </si>
  <si>
    <t>Poliuretano Densidad 20 Kg/m3 Color Gris</t>
  </si>
  <si>
    <t>Dekra</t>
  </si>
  <si>
    <t>19.09.22</t>
  </si>
  <si>
    <t>Pieza ciega en Microlen P45 color antracita. Incluye pieza ciega pegada 77,2x64,5x2 cm acabado eggs</t>
  </si>
  <si>
    <t>En Flex 25 Kg/m3 en color negro pieza Ciega</t>
  </si>
  <si>
    <t>19.05.23</t>
  </si>
  <si>
    <t>Pieza Ciega en Microlen P30 color Antracita</t>
  </si>
  <si>
    <t>Jacena Ingenieria</t>
  </si>
  <si>
    <t>23.02.22</t>
  </si>
  <si>
    <t>Pieza Ciega en Microlen P45, en Antracita (Adhesivo en 1 cara)</t>
  </si>
  <si>
    <t>Pieza Ciega en Microlen P45 HD, en Antracita (Adhesivo en 1 cara)</t>
  </si>
  <si>
    <t>policel E25X gris perfilado alveolar 30/15</t>
  </si>
  <si>
    <t>14.03.25</t>
  </si>
  <si>
    <t>19.12.23</t>
  </si>
  <si>
    <t>Pieza ciega en Policel E25X</t>
  </si>
  <si>
    <t>ADC</t>
  </si>
  <si>
    <t>Pieza ciega en Microlen P30 esquinas redondeadas color antracita</t>
  </si>
  <si>
    <t>Pieza ciega en Policel AB30 esquinas redondeadas</t>
  </si>
  <si>
    <t>18.07.23</t>
  </si>
  <si>
    <t>Pieza en forma de trebol</t>
  </si>
  <si>
    <t>Talleres Páez</t>
  </si>
  <si>
    <t>19.03.24</t>
  </si>
  <si>
    <t>Pieza ciega Micolen P45 2 cm antracita + 1 cm azul</t>
  </si>
  <si>
    <t>21.03.24</t>
  </si>
  <si>
    <t>Pieza ciega 2 cm Policel ab50 antracita + 1 cm LD45 azul</t>
  </si>
  <si>
    <t>Pieza ciega Micolen P45 4 cm antracita + 1 cm azul</t>
  </si>
  <si>
    <t>Pieza ciega 4 cm Policel ab50 antracita + 1 cm LD45 azul</t>
  </si>
  <si>
    <t>Espuma ciega en Microlen P30 color antracita</t>
  </si>
  <si>
    <t>Betangible</t>
  </si>
  <si>
    <t>28.09.21</t>
  </si>
  <si>
    <t>Forma de Semicircunferencia, en Policel 18 Dens. 30 Kg/m3</t>
  </si>
  <si>
    <t>Espuma ciega en NR Foam Pack 20/25 Kg/m3</t>
  </si>
  <si>
    <t>Espuma ciega en Flex de 25 Kg/M3 color negro</t>
  </si>
  <si>
    <t>Espuma ciega en NR Foam Pack 20/25 Kg/m3 en color negro</t>
  </si>
  <si>
    <t>En Flex 25 Kg/m3 en color negro</t>
  </si>
  <si>
    <t>Pegasus</t>
  </si>
  <si>
    <t>12.09.22</t>
  </si>
  <si>
    <t>Espuma ciega Policel AB30 color rojo</t>
  </si>
  <si>
    <t>Espuma ciega en Microlen P30 color rojo/azul</t>
  </si>
  <si>
    <t>Espuma ciega Policel AB30 color antracita</t>
  </si>
  <si>
    <t>En Flex de 25 Kg/m3 en color negro</t>
  </si>
  <si>
    <t>Latorre Marquez</t>
  </si>
  <si>
    <t>Plancha de Espuma Ciega en Foam Pack de 50 Kg/m3 color Blanco</t>
  </si>
  <si>
    <t>07.04.22</t>
  </si>
  <si>
    <t>Plancha de Espuma Ciega en Foam Pack de 65 Kg/m3 color Ref.-EXW Blanco</t>
  </si>
  <si>
    <t>12.04.22</t>
  </si>
  <si>
    <t xml:space="preserve">Plancha de Espuma Ciega en Foam Pack de 20-25 Kg/m3 color </t>
  </si>
  <si>
    <t>Decoclain</t>
  </si>
  <si>
    <t>22.04.22</t>
  </si>
  <si>
    <t>Pieza ciega de Poliuretano color Gris D-20 en color gris</t>
  </si>
  <si>
    <t>02.10.23</t>
  </si>
  <si>
    <t>11.12.24</t>
  </si>
  <si>
    <t>21.07.22</t>
  </si>
  <si>
    <t>Espuma ciega Microlem P45 color antracita</t>
  </si>
  <si>
    <t>27.07.22</t>
  </si>
  <si>
    <t>Espuma ciega en EVJ45 color antracita</t>
  </si>
  <si>
    <t>10.07.24</t>
  </si>
  <si>
    <t>Pieza ciega en Foma color antracita densidad 45 kg/m3</t>
  </si>
  <si>
    <t>Policel E25X gris, Acabado EGG densidad 20 Kg/m3</t>
  </si>
  <si>
    <t>POliembalajes</t>
  </si>
  <si>
    <t>Ventor</t>
  </si>
  <si>
    <t>Espuma ciega Microlen P45</t>
  </si>
  <si>
    <t>25.10.23</t>
  </si>
  <si>
    <t>Pieza ciega en Ethafoam antiestático color rosa E-220 densidad 35 kg/m3</t>
  </si>
  <si>
    <t>Pieza ciega en EVJ45 color negro</t>
  </si>
  <si>
    <t>Pieza Ciega en Microlen P30 color Rojo-Azul</t>
  </si>
  <si>
    <t>25.01.23</t>
  </si>
  <si>
    <t>Pieza ciega en Microlen P45 color antracita.</t>
  </si>
  <si>
    <t>30.01.23</t>
  </si>
  <si>
    <t>08.05.24</t>
  </si>
  <si>
    <t>Pieza Ciega en Microlen de 45 Kg/m3</t>
  </si>
  <si>
    <t>Pieza Ciega en Policel AB50 (Microlen de 45 Kg/m3)</t>
  </si>
  <si>
    <t>Pieza Ciega en EVJ45</t>
  </si>
  <si>
    <t>Pieza Ciega en Policel AB50</t>
  </si>
  <si>
    <t>16.09.24</t>
  </si>
  <si>
    <t>Pieza ciega en vj45</t>
  </si>
  <si>
    <t>LaTorre Marquez</t>
  </si>
  <si>
    <t>27.01.23</t>
  </si>
  <si>
    <t>impursa</t>
  </si>
  <si>
    <t>26.06.24</t>
  </si>
  <si>
    <t>Pieza ciega en LD45 color azul</t>
  </si>
  <si>
    <t>23.11.23</t>
  </si>
  <si>
    <t>Plancha en Microlen P45 color rojo</t>
  </si>
  <si>
    <t>27.10.23</t>
  </si>
  <si>
    <t>Plancha en Foam LD color blanco</t>
  </si>
  <si>
    <t>Plancha en strotocell negro 20 kg/m3</t>
  </si>
  <si>
    <t>MasGuan</t>
  </si>
  <si>
    <t>26.10.21</t>
  </si>
  <si>
    <t>Plancha de espuma en Policel 45 kg/m3 EV45J con carga de EVA</t>
  </si>
  <si>
    <t>27.10.21</t>
  </si>
  <si>
    <t>Plancha de espuma en Microlen 45 kg/m3 EV45 con carga de EVA</t>
  </si>
  <si>
    <t>Plancha de espuma en Policel NR24 Negro</t>
  </si>
  <si>
    <t>Pieza ciega en Foam color antracita densidad 45 kg/m3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</si>
</sst>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 %"/>
    <numFmt numFmtId="165" formatCode="#,##0.00\ [$€-C0A];[Red]\-#,##0.00\ [$€-C0A]"/>
  </numFmts>
  <fonts count="1" x14ac:knownFonts="1"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06"/>
  <sheetViews>
    <sheetView tabSelected="1" zoomScale="90" zoomScaleNormal="90" workbookViewId="0">
      <pane ySplit="7" topLeftCell="A142" activePane="bottomLeft" state="frozen"/>
      <selection pane="bottomLeft" activeCell="M163" sqref="M163"/>
    </sheetView>
  </sheetViews>
  <sheetFormatPr baseColWidth="10" defaultColWidth="14.44140625" defaultRowHeight="15" customHeight="1" x14ac:dyDescent="0.3"/>
  <cols>
    <col min="1" max="2" width="10.6640625" customWidth="1"/>
    <col min="3" max="3" width="38.88671875" customWidth="1"/>
    <col min="4" max="4" width="16.88671875" customWidth="1"/>
    <col min="5" max="8" width="10.6640625" customWidth="1"/>
    <col min="9" max="9" width="16.33203125" customWidth="1"/>
    <col min="10" max="10" width="10.6640625" customWidth="1"/>
    <col min="11" max="11" width="84.44140625" customWidth="1"/>
    <col min="12" max="12" width="23.5546875" customWidth="1"/>
    <col min="13" max="13" width="18.44140625" customWidth="1"/>
    <col min="14" max="25" width="10.6640625" customWidth="1"/>
    <col min="16384" max="16384" width="11.5546875" customWidth="1"/>
  </cols>
  <sheetData>
    <row r="1" spans="3:13" ht="14.25" customHeight="1" x14ac:dyDescent="0.3"/>
    <row r="2" spans="3:13" ht="14.25" customHeight="1" x14ac:dyDescent="0.3"/>
    <row r="3" spans="3:13" ht="14.25" customHeight="1" x14ac:dyDescent="0.3">
      <c r="H3" s="1"/>
      <c r="K3" t="s">
        <v>0</v>
      </c>
    </row>
    <row r="4" spans="3:13" ht="14.25" customHeight="1" x14ac:dyDescent="0.3"/>
    <row r="5" spans="3:13" ht="14.25" customHeight="1" x14ac:dyDescent="0.3">
      <c r="C5" t="s">
        <v>1</v>
      </c>
      <c r="G5" t="s">
        <v>2</v>
      </c>
      <c r="H5" t="s">
        <v>3</v>
      </c>
      <c r="I5" t="s">
        <v>4</v>
      </c>
      <c r="J5" t="s">
        <v>5</v>
      </c>
      <c r="K5" t="s">
        <v>6</v>
      </c>
    </row>
    <row r="6" spans="3:13" ht="14.25" customHeight="1" x14ac:dyDescent="0.3">
      <c r="C6" t="s">
        <v>7</v>
      </c>
    </row>
    <row r="7" spans="3:13" ht="14.25" customHeight="1" x14ac:dyDescent="0.3"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</row>
    <row r="8" spans="3:13" ht="14.25" customHeight="1" x14ac:dyDescent="0.3">
      <c r="C8" t="s">
        <v>19</v>
      </c>
      <c r="D8">
        <v>4.5</v>
      </c>
      <c r="E8">
        <v>4.5</v>
      </c>
      <c r="F8">
        <v>0.5</v>
      </c>
      <c r="G8">
        <v>50</v>
      </c>
      <c r="H8">
        <v>1</v>
      </c>
      <c r="I8" s="2">
        <v>0.16</v>
      </c>
      <c r="J8" t="s">
        <v>20</v>
      </c>
      <c r="K8" t="s">
        <v>21</v>
      </c>
      <c r="L8" t="s">
        <v>22</v>
      </c>
      <c r="M8" t="s">
        <v>23</v>
      </c>
    </row>
    <row r="9" spans="3:13" ht="14.25" customHeight="1" x14ac:dyDescent="0.3">
      <c r="C9" t="s">
        <v>24</v>
      </c>
      <c r="D9">
        <v>5.5</v>
      </c>
      <c r="E9">
        <v>5.5</v>
      </c>
      <c r="F9">
        <v>30</v>
      </c>
      <c r="G9">
        <v>8</v>
      </c>
      <c r="H9">
        <v>1</v>
      </c>
      <c r="I9" s="2">
        <v>25</v>
      </c>
      <c r="J9" t="s">
        <v>25</v>
      </c>
      <c r="K9" t="s">
        <v>26</v>
      </c>
      <c r="L9" t="s">
        <v>27</v>
      </c>
      <c r="M9" t="s">
        <v>28</v>
      </c>
    </row>
    <row r="10" spans="3:13" ht="14.25" customHeight="1" x14ac:dyDescent="0.3">
      <c r="C10" t="s">
        <v>29</v>
      </c>
      <c r="D10">
        <v>5.4</v>
      </c>
      <c r="E10">
        <v>3</v>
      </c>
      <c r="F10">
        <v>2.5</v>
      </c>
      <c r="G10">
        <v>100</v>
      </c>
      <c r="H10">
        <v>1</v>
      </c>
      <c r="I10" s="2">
        <v>1.3</v>
      </c>
      <c r="J10" t="s">
        <v>30</v>
      </c>
      <c r="K10" t="s">
        <v>31</v>
      </c>
      <c r="L10" t="s">
        <v>32</v>
      </c>
      <c r="M10" t="s">
        <v>33</v>
      </c>
    </row>
    <row r="11" spans="3:13" ht="14.25" customHeight="1" x14ac:dyDescent="0.3">
      <c r="C11" t="s">
        <v>34</v>
      </c>
      <c r="D11">
        <v>5.7</v>
      </c>
      <c r="E11">
        <v>5.7</v>
      </c>
      <c r="F11">
        <v>4</v>
      </c>
      <c r="G11">
        <v>5000</v>
      </c>
      <c r="H11">
        <v>1</v>
      </c>
      <c r="I11" s="2">
        <v>0.13</v>
      </c>
      <c r="J11" t="s">
        <v>35</v>
      </c>
      <c r="K11" t="s">
        <v>36</v>
      </c>
      <c r="L11" t="s">
        <v>32</v>
      </c>
      <c r="M11" t="s">
        <v>28</v>
      </c>
    </row>
    <row r="12" spans="3:13" ht="14.25" customHeight="1" x14ac:dyDescent="0.3">
      <c r="C12" t="s">
        <v>37</v>
      </c>
      <c r="D12">
        <v>5.9</v>
      </c>
      <c r="E12">
        <v>5.9</v>
      </c>
      <c r="F12">
        <v>12</v>
      </c>
      <c r="G12">
        <v>1000</v>
      </c>
      <c r="H12">
        <v>1</v>
      </c>
      <c r="I12" s="2">
        <v>0.42</v>
      </c>
      <c r="J12" t="s">
        <v>38</v>
      </c>
      <c r="K12" t="s">
        <v>39</v>
      </c>
      <c r="L12" t="s">
        <v>40</v>
      </c>
      <c r="M12" t="s">
        <v>28</v>
      </c>
    </row>
    <row r="13" spans="3:13" ht="14.25" customHeight="1" x14ac:dyDescent="0.3">
      <c r="C13" t="s">
        <v>37</v>
      </c>
      <c r="D13">
        <v>5.9</v>
      </c>
      <c r="E13">
        <v>5.9</v>
      </c>
      <c r="F13">
        <v>12.8</v>
      </c>
      <c r="G13">
        <v>1000</v>
      </c>
      <c r="H13">
        <v>1</v>
      </c>
      <c r="I13" s="2">
        <v>0.44</v>
      </c>
      <c r="J13" t="s">
        <v>41</v>
      </c>
      <c r="K13" t="s">
        <v>39</v>
      </c>
      <c r="L13" t="s">
        <v>40</v>
      </c>
      <c r="M13" t="s">
        <v>28</v>
      </c>
    </row>
    <row r="14" spans="3:13" ht="14.25" customHeight="1" x14ac:dyDescent="0.3">
      <c r="C14" t="s">
        <v>42</v>
      </c>
      <c r="D14">
        <v>5.9</v>
      </c>
      <c r="E14">
        <v>4.5999999999999996</v>
      </c>
      <c r="F14">
        <v>3</v>
      </c>
      <c r="G14">
        <v>50000</v>
      </c>
      <c r="H14">
        <v>1</v>
      </c>
      <c r="I14" s="2">
        <v>1.4999999999999999E-2</v>
      </c>
      <c r="J14" t="s">
        <v>43</v>
      </c>
      <c r="K14" t="s">
        <v>44</v>
      </c>
      <c r="L14" t="s">
        <v>32</v>
      </c>
      <c r="M14" t="s">
        <v>45</v>
      </c>
    </row>
    <row r="15" spans="3:13" ht="14.25" customHeight="1" x14ac:dyDescent="0.3">
      <c r="C15" t="s">
        <v>42</v>
      </c>
      <c r="D15">
        <v>5.9</v>
      </c>
      <c r="E15">
        <v>4.5999999999999996</v>
      </c>
      <c r="F15">
        <v>3</v>
      </c>
      <c r="G15">
        <v>50000</v>
      </c>
      <c r="H15">
        <v>1</v>
      </c>
      <c r="I15" s="2">
        <f>0.03+220/50000</f>
        <v>3.44E-2</v>
      </c>
      <c r="J15" t="s">
        <v>25</v>
      </c>
      <c r="K15" t="s">
        <v>46</v>
      </c>
      <c r="L15" t="s">
        <v>22</v>
      </c>
      <c r="M15" t="s">
        <v>23</v>
      </c>
    </row>
    <row r="16" spans="3:13" ht="14.25" customHeight="1" x14ac:dyDescent="0.3">
      <c r="C16" t="s">
        <v>42</v>
      </c>
      <c r="D16">
        <v>5.9</v>
      </c>
      <c r="E16">
        <v>4.5999999999999996</v>
      </c>
      <c r="F16">
        <v>3</v>
      </c>
      <c r="G16">
        <v>50000</v>
      </c>
      <c r="H16">
        <v>1</v>
      </c>
      <c r="I16" s="2">
        <v>0.05</v>
      </c>
      <c r="J16" t="s">
        <v>47</v>
      </c>
      <c r="K16" t="s">
        <v>48</v>
      </c>
      <c r="L16" t="s">
        <v>32</v>
      </c>
      <c r="M16" t="s">
        <v>49</v>
      </c>
    </row>
    <row r="17" spans="3:13" ht="14.25" customHeight="1" x14ac:dyDescent="0.3">
      <c r="C17" t="s">
        <v>42</v>
      </c>
      <c r="D17">
        <v>5.9</v>
      </c>
      <c r="E17">
        <v>4.5999999999999996</v>
      </c>
      <c r="F17">
        <v>3</v>
      </c>
      <c r="G17">
        <v>250000</v>
      </c>
      <c r="H17">
        <v>1</v>
      </c>
      <c r="I17" s="2">
        <v>1.35E-2</v>
      </c>
      <c r="J17" t="s">
        <v>50</v>
      </c>
      <c r="K17" t="s">
        <v>44</v>
      </c>
      <c r="L17" t="s">
        <v>40</v>
      </c>
      <c r="M17" t="s">
        <v>51</v>
      </c>
    </row>
    <row r="18" spans="3:13" ht="14.25" customHeight="1" x14ac:dyDescent="0.3">
      <c r="C18" t="s">
        <v>42</v>
      </c>
      <c r="D18">
        <v>5.9</v>
      </c>
      <c r="E18">
        <v>4.5999999999999996</v>
      </c>
      <c r="F18">
        <v>3</v>
      </c>
      <c r="G18">
        <v>250000</v>
      </c>
      <c r="H18">
        <v>1</v>
      </c>
      <c r="I18" s="2">
        <v>1.9E-2</v>
      </c>
      <c r="J18" t="s">
        <v>52</v>
      </c>
      <c r="K18" t="s">
        <v>53</v>
      </c>
      <c r="L18" t="s">
        <v>22</v>
      </c>
      <c r="M18" t="s">
        <v>33</v>
      </c>
    </row>
    <row r="19" spans="3:13" ht="14.25" customHeight="1" x14ac:dyDescent="0.3">
      <c r="C19" t="s">
        <v>42</v>
      </c>
      <c r="D19">
        <v>5.9</v>
      </c>
      <c r="E19">
        <v>4.5999999999999996</v>
      </c>
      <c r="F19">
        <v>3</v>
      </c>
      <c r="G19">
        <v>250000</v>
      </c>
      <c r="H19">
        <v>1</v>
      </c>
      <c r="I19" s="2">
        <v>0.05</v>
      </c>
      <c r="J19" t="s">
        <v>54</v>
      </c>
      <c r="K19" t="s">
        <v>55</v>
      </c>
      <c r="L19" t="s">
        <v>22</v>
      </c>
      <c r="M19" t="s">
        <v>28</v>
      </c>
    </row>
    <row r="20" spans="3:13" ht="14.25" customHeight="1" x14ac:dyDescent="0.3">
      <c r="C20" t="s">
        <v>56</v>
      </c>
      <c r="D20">
        <v>6</v>
      </c>
      <c r="E20">
        <v>4.5</v>
      </c>
      <c r="F20">
        <v>4</v>
      </c>
      <c r="G20">
        <v>1150</v>
      </c>
      <c r="H20">
        <v>1</v>
      </c>
      <c r="I20" s="2">
        <v>0.12</v>
      </c>
      <c r="J20" t="s">
        <v>30</v>
      </c>
      <c r="K20" t="s">
        <v>57</v>
      </c>
      <c r="L20" t="s">
        <v>40</v>
      </c>
      <c r="M20" t="s">
        <v>51</v>
      </c>
    </row>
    <row r="21" spans="3:13" ht="14.25" customHeight="1" x14ac:dyDescent="0.3">
      <c r="C21" t="s">
        <v>56</v>
      </c>
      <c r="D21">
        <v>6</v>
      </c>
      <c r="E21">
        <v>4.5</v>
      </c>
      <c r="F21">
        <v>4</v>
      </c>
      <c r="G21">
        <v>1150</v>
      </c>
      <c r="H21">
        <v>1</v>
      </c>
      <c r="I21" s="2">
        <v>0.14000000000000001</v>
      </c>
      <c r="J21" t="s">
        <v>58</v>
      </c>
      <c r="K21" t="s">
        <v>57</v>
      </c>
      <c r="L21" t="s">
        <v>40</v>
      </c>
      <c r="M21" t="s">
        <v>59</v>
      </c>
    </row>
    <row r="22" spans="3:13" ht="14.25" customHeight="1" x14ac:dyDescent="0.3">
      <c r="C22" t="s">
        <v>56</v>
      </c>
      <c r="D22">
        <v>6</v>
      </c>
      <c r="E22">
        <v>4.5</v>
      </c>
      <c r="F22">
        <v>4</v>
      </c>
      <c r="G22">
        <v>1150</v>
      </c>
      <c r="H22">
        <v>1</v>
      </c>
      <c r="I22" s="2">
        <v>0.55000000000000004</v>
      </c>
      <c r="J22" t="s">
        <v>60</v>
      </c>
      <c r="K22" t="s">
        <v>57</v>
      </c>
      <c r="L22" t="s">
        <v>40</v>
      </c>
      <c r="M22" t="s">
        <v>33</v>
      </c>
    </row>
    <row r="23" spans="3:13" ht="14.25" customHeight="1" x14ac:dyDescent="0.3">
      <c r="C23" t="s">
        <v>56</v>
      </c>
      <c r="D23">
        <v>6.1</v>
      </c>
      <c r="E23">
        <v>2</v>
      </c>
      <c r="F23">
        <v>3.7</v>
      </c>
      <c r="G23">
        <v>200</v>
      </c>
      <c r="H23">
        <v>1</v>
      </c>
      <c r="I23" s="2">
        <v>0.19400000000000001</v>
      </c>
      <c r="J23" t="s">
        <v>61</v>
      </c>
      <c r="K23" t="s">
        <v>62</v>
      </c>
      <c r="L23" t="s">
        <v>27</v>
      </c>
      <c r="M23" t="s">
        <v>23</v>
      </c>
    </row>
    <row r="24" spans="3:13" ht="14.25" customHeight="1" x14ac:dyDescent="0.3">
      <c r="C24" t="s">
        <v>56</v>
      </c>
      <c r="D24">
        <v>6.1</v>
      </c>
      <c r="E24">
        <v>2</v>
      </c>
      <c r="F24">
        <v>3.7</v>
      </c>
      <c r="G24">
        <v>200</v>
      </c>
      <c r="H24">
        <v>1</v>
      </c>
      <c r="I24" s="2">
        <f>0.48+0/G24</f>
        <v>0.48</v>
      </c>
      <c r="J24" t="s">
        <v>63</v>
      </c>
      <c r="K24" t="s">
        <v>62</v>
      </c>
      <c r="L24" t="s">
        <v>27</v>
      </c>
      <c r="M24" t="s">
        <v>23</v>
      </c>
    </row>
    <row r="25" spans="3:13" ht="14.25" customHeight="1" x14ac:dyDescent="0.3">
      <c r="C25" t="s">
        <v>56</v>
      </c>
      <c r="D25">
        <v>6.1</v>
      </c>
      <c r="E25">
        <v>2</v>
      </c>
      <c r="F25">
        <v>3.7</v>
      </c>
      <c r="G25">
        <v>500</v>
      </c>
      <c r="H25">
        <v>1</v>
      </c>
      <c r="I25" s="2">
        <v>0.187</v>
      </c>
      <c r="J25" t="s">
        <v>61</v>
      </c>
      <c r="K25" t="s">
        <v>62</v>
      </c>
      <c r="L25" t="s">
        <v>27</v>
      </c>
      <c r="M25" t="s">
        <v>23</v>
      </c>
    </row>
    <row r="26" spans="3:13" ht="14.25" customHeight="1" x14ac:dyDescent="0.3">
      <c r="C26" t="s">
        <v>56</v>
      </c>
      <c r="D26">
        <v>6.1</v>
      </c>
      <c r="E26">
        <v>2</v>
      </c>
      <c r="F26">
        <v>3.7</v>
      </c>
      <c r="G26">
        <v>1000</v>
      </c>
      <c r="H26">
        <v>1</v>
      </c>
      <c r="I26" s="2">
        <v>0.18099999999999999</v>
      </c>
      <c r="J26" t="s">
        <v>64</v>
      </c>
      <c r="K26" t="s">
        <v>62</v>
      </c>
      <c r="L26" t="s">
        <v>27</v>
      </c>
      <c r="M26" t="s">
        <v>23</v>
      </c>
    </row>
    <row r="27" spans="3:13" ht="14.25" customHeight="1" x14ac:dyDescent="0.3">
      <c r="C27" t="s">
        <v>65</v>
      </c>
      <c r="D27">
        <v>6.5</v>
      </c>
      <c r="E27">
        <v>1.4</v>
      </c>
      <c r="F27">
        <v>4</v>
      </c>
      <c r="G27">
        <v>10</v>
      </c>
      <c r="H27">
        <v>1</v>
      </c>
      <c r="I27" s="2">
        <f>180/G27</f>
        <v>18</v>
      </c>
      <c r="J27" t="s">
        <v>66</v>
      </c>
      <c r="K27" t="s">
        <v>67</v>
      </c>
      <c r="L27" t="s">
        <v>27</v>
      </c>
      <c r="M27" t="s">
        <v>33</v>
      </c>
    </row>
    <row r="28" spans="3:13" ht="14.25" customHeight="1" x14ac:dyDescent="0.3">
      <c r="C28" t="s">
        <v>65</v>
      </c>
      <c r="D28">
        <v>6.5</v>
      </c>
      <c r="E28">
        <v>1.4</v>
      </c>
      <c r="F28">
        <v>4</v>
      </c>
      <c r="G28">
        <v>1000</v>
      </c>
      <c r="H28">
        <v>1</v>
      </c>
      <c r="I28" s="2">
        <f>120/G28+0.455</f>
        <v>0.57499999999999996</v>
      </c>
      <c r="J28" t="s">
        <v>66</v>
      </c>
      <c r="K28" t="s">
        <v>67</v>
      </c>
      <c r="L28" t="s">
        <v>27</v>
      </c>
      <c r="M28" t="s">
        <v>33</v>
      </c>
    </row>
    <row r="29" spans="3:13" ht="14.25" customHeight="1" x14ac:dyDescent="0.3">
      <c r="C29" t="s">
        <v>56</v>
      </c>
      <c r="D29">
        <v>6</v>
      </c>
      <c r="E29">
        <v>4.5</v>
      </c>
      <c r="F29">
        <v>4</v>
      </c>
      <c r="G29">
        <v>550</v>
      </c>
      <c r="H29">
        <v>1</v>
      </c>
      <c r="I29" s="2">
        <v>0.16900000000000001</v>
      </c>
      <c r="J29" t="s">
        <v>35</v>
      </c>
      <c r="K29" t="s">
        <v>68</v>
      </c>
      <c r="L29" t="s">
        <v>40</v>
      </c>
      <c r="M29" t="s">
        <v>51</v>
      </c>
    </row>
    <row r="30" spans="3:13" ht="14.25" customHeight="1" x14ac:dyDescent="0.3">
      <c r="C30" t="s">
        <v>56</v>
      </c>
      <c r="D30">
        <v>6</v>
      </c>
      <c r="E30">
        <v>4.5</v>
      </c>
      <c r="F30">
        <v>4</v>
      </c>
      <c r="G30">
        <v>550</v>
      </c>
      <c r="H30">
        <v>1</v>
      </c>
      <c r="I30" s="2">
        <v>0.14000000000000001</v>
      </c>
      <c r="J30" t="s">
        <v>35</v>
      </c>
      <c r="K30" t="s">
        <v>69</v>
      </c>
      <c r="L30" t="s">
        <v>40</v>
      </c>
      <c r="M30" t="s">
        <v>70</v>
      </c>
    </row>
    <row r="31" spans="3:13" ht="14.25" customHeight="1" x14ac:dyDescent="0.3">
      <c r="C31" t="s">
        <v>56</v>
      </c>
      <c r="D31">
        <v>6</v>
      </c>
      <c r="E31">
        <v>4.5</v>
      </c>
      <c r="F31">
        <v>4</v>
      </c>
      <c r="G31">
        <v>1550</v>
      </c>
      <c r="H31">
        <v>1</v>
      </c>
      <c r="I31" s="2">
        <v>0.182</v>
      </c>
      <c r="J31" t="s">
        <v>35</v>
      </c>
      <c r="K31" t="s">
        <v>71</v>
      </c>
      <c r="L31" t="s">
        <v>32</v>
      </c>
      <c r="M31" t="s">
        <v>51</v>
      </c>
    </row>
    <row r="32" spans="3:13" ht="14.25" customHeight="1" x14ac:dyDescent="0.3">
      <c r="C32" t="s">
        <v>56</v>
      </c>
      <c r="D32">
        <v>6</v>
      </c>
      <c r="E32">
        <v>4.5</v>
      </c>
      <c r="F32">
        <v>4</v>
      </c>
      <c r="G32">
        <v>1550</v>
      </c>
      <c r="H32">
        <v>1</v>
      </c>
      <c r="I32" s="2">
        <v>0.14000000000000001</v>
      </c>
      <c r="J32" t="s">
        <v>35</v>
      </c>
      <c r="K32" t="s">
        <v>69</v>
      </c>
      <c r="L32" t="s">
        <v>40</v>
      </c>
      <c r="M32" t="s">
        <v>70</v>
      </c>
    </row>
    <row r="33" spans="3:13" ht="14.25" customHeight="1" x14ac:dyDescent="0.3">
      <c r="C33" t="s">
        <v>37</v>
      </c>
      <c r="D33">
        <v>6.6</v>
      </c>
      <c r="E33">
        <v>3.5</v>
      </c>
      <c r="F33">
        <v>7.7</v>
      </c>
      <c r="G33">
        <v>1000</v>
      </c>
      <c r="H33">
        <v>1</v>
      </c>
      <c r="I33" s="2">
        <v>0.2</v>
      </c>
      <c r="J33" t="s">
        <v>72</v>
      </c>
      <c r="K33" t="s">
        <v>69</v>
      </c>
      <c r="L33" t="s">
        <v>40</v>
      </c>
      <c r="M33" t="s">
        <v>70</v>
      </c>
    </row>
    <row r="34" spans="3:13" ht="14.25" customHeight="1" x14ac:dyDescent="0.3">
      <c r="C34" t="s">
        <v>37</v>
      </c>
      <c r="D34">
        <v>6.6</v>
      </c>
      <c r="E34">
        <v>3.5</v>
      </c>
      <c r="F34">
        <v>7.7</v>
      </c>
      <c r="G34">
        <v>1000</v>
      </c>
      <c r="H34">
        <v>1</v>
      </c>
      <c r="I34" s="2">
        <f>0.22+180/G34</f>
        <v>0.4</v>
      </c>
      <c r="J34" t="s">
        <v>73</v>
      </c>
      <c r="K34" t="s">
        <v>69</v>
      </c>
      <c r="L34" t="s">
        <v>40</v>
      </c>
      <c r="M34" t="s">
        <v>23</v>
      </c>
    </row>
    <row r="35" spans="3:13" ht="14.25" customHeight="1" x14ac:dyDescent="0.3">
      <c r="C35" t="s">
        <v>37</v>
      </c>
      <c r="D35">
        <v>6.6</v>
      </c>
      <c r="E35">
        <v>3.5</v>
      </c>
      <c r="F35">
        <v>7.7</v>
      </c>
      <c r="G35">
        <v>2200</v>
      </c>
      <c r="H35">
        <v>1</v>
      </c>
      <c r="I35" s="2">
        <v>0.2</v>
      </c>
      <c r="J35" t="s">
        <v>72</v>
      </c>
      <c r="K35" t="s">
        <v>69</v>
      </c>
      <c r="L35" t="s">
        <v>40</v>
      </c>
      <c r="M35" t="s">
        <v>70</v>
      </c>
    </row>
    <row r="36" spans="3:13" ht="14.25" customHeight="1" x14ac:dyDescent="0.3">
      <c r="C36" t="s">
        <v>37</v>
      </c>
      <c r="D36">
        <v>6.6</v>
      </c>
      <c r="E36">
        <v>3.5</v>
      </c>
      <c r="F36">
        <v>7.7</v>
      </c>
      <c r="G36">
        <v>2000</v>
      </c>
      <c r="H36">
        <v>1</v>
      </c>
      <c r="I36" s="2">
        <f>0.19+180/G36</f>
        <v>0.28000000000000003</v>
      </c>
      <c r="J36" t="s">
        <v>73</v>
      </c>
      <c r="K36" t="s">
        <v>69</v>
      </c>
      <c r="L36" t="s">
        <v>40</v>
      </c>
      <c r="M36" t="s">
        <v>23</v>
      </c>
    </row>
    <row r="37" spans="3:13" ht="14.25" customHeight="1" x14ac:dyDescent="0.3">
      <c r="C37" t="s">
        <v>56</v>
      </c>
      <c r="D37">
        <v>7</v>
      </c>
      <c r="E37">
        <v>2</v>
      </c>
      <c r="F37">
        <v>3.5</v>
      </c>
      <c r="G37">
        <v>20</v>
      </c>
      <c r="H37">
        <v>1</v>
      </c>
      <c r="I37" s="2">
        <v>5</v>
      </c>
      <c r="J37" t="s">
        <v>74</v>
      </c>
      <c r="K37" t="s">
        <v>75</v>
      </c>
      <c r="L37" t="s">
        <v>27</v>
      </c>
      <c r="M37" t="s">
        <v>76</v>
      </c>
    </row>
    <row r="38" spans="3:13" ht="14.25" customHeight="1" x14ac:dyDescent="0.3">
      <c r="C38" t="s">
        <v>56</v>
      </c>
      <c r="D38">
        <v>7.1</v>
      </c>
      <c r="E38">
        <v>2.1</v>
      </c>
      <c r="F38">
        <v>2.7</v>
      </c>
      <c r="G38">
        <v>50</v>
      </c>
      <c r="H38">
        <v>1</v>
      </c>
      <c r="I38" s="2">
        <f>0.33+220/G38</f>
        <v>4.7300000000000004</v>
      </c>
      <c r="J38" t="s">
        <v>77</v>
      </c>
      <c r="K38" t="s">
        <v>78</v>
      </c>
      <c r="L38" t="s">
        <v>27</v>
      </c>
      <c r="M38" t="s">
        <v>23</v>
      </c>
    </row>
    <row r="39" spans="3:13" ht="14.25" customHeight="1" x14ac:dyDescent="0.3">
      <c r="C39" t="s">
        <v>56</v>
      </c>
      <c r="D39">
        <v>7.1</v>
      </c>
      <c r="E39">
        <v>2.1</v>
      </c>
      <c r="F39">
        <v>2.7</v>
      </c>
      <c r="G39">
        <v>100</v>
      </c>
      <c r="H39">
        <v>1</v>
      </c>
      <c r="I39" s="2">
        <f>0.33+220/G39</f>
        <v>2.5300000000000002</v>
      </c>
      <c r="J39" t="s">
        <v>77</v>
      </c>
      <c r="K39" t="s">
        <v>78</v>
      </c>
      <c r="L39" t="s">
        <v>27</v>
      </c>
      <c r="M39" t="s">
        <v>23</v>
      </c>
    </row>
    <row r="40" spans="3:13" ht="14.25" customHeight="1" x14ac:dyDescent="0.3">
      <c r="C40" t="s">
        <v>56</v>
      </c>
      <c r="D40">
        <v>7.1</v>
      </c>
      <c r="E40">
        <v>2.1</v>
      </c>
      <c r="F40">
        <v>2.7</v>
      </c>
      <c r="G40">
        <v>500</v>
      </c>
      <c r="H40">
        <v>1</v>
      </c>
      <c r="I40" s="2">
        <v>0.17799999999999999</v>
      </c>
      <c r="J40" t="s">
        <v>61</v>
      </c>
      <c r="K40" t="s">
        <v>78</v>
      </c>
      <c r="L40" t="s">
        <v>27</v>
      </c>
      <c r="M40" t="s">
        <v>23</v>
      </c>
    </row>
    <row r="41" spans="3:13" ht="14.25" customHeight="1" x14ac:dyDescent="0.3">
      <c r="C41" t="s">
        <v>56</v>
      </c>
      <c r="D41">
        <v>7.1</v>
      </c>
      <c r="E41">
        <v>2.1</v>
      </c>
      <c r="F41">
        <v>2.7</v>
      </c>
      <c r="G41">
        <v>1000</v>
      </c>
      <c r="H41">
        <v>1</v>
      </c>
      <c r="I41" s="2">
        <v>0.17299999999999999</v>
      </c>
      <c r="J41" t="s">
        <v>61</v>
      </c>
      <c r="K41" t="s">
        <v>78</v>
      </c>
      <c r="L41" t="s">
        <v>27</v>
      </c>
      <c r="M41" t="s">
        <v>23</v>
      </c>
    </row>
    <row r="42" spans="3:13" ht="14.25" customHeight="1" x14ac:dyDescent="0.3">
      <c r="C42" t="s">
        <v>56</v>
      </c>
      <c r="D42">
        <v>7.1</v>
      </c>
      <c r="E42">
        <v>2.1</v>
      </c>
      <c r="F42">
        <v>3.7</v>
      </c>
      <c r="G42">
        <v>20</v>
      </c>
      <c r="H42">
        <v>1</v>
      </c>
      <c r="I42" s="2">
        <v>2.4</v>
      </c>
      <c r="J42" t="s">
        <v>79</v>
      </c>
      <c r="K42" t="s">
        <v>75</v>
      </c>
      <c r="L42" t="s">
        <v>27</v>
      </c>
      <c r="M42" t="s">
        <v>23</v>
      </c>
    </row>
    <row r="43" spans="3:13" ht="14.25" customHeight="1" x14ac:dyDescent="0.3">
      <c r="C43" t="s">
        <v>56</v>
      </c>
      <c r="D43">
        <v>7.1</v>
      </c>
      <c r="E43">
        <v>2.1</v>
      </c>
      <c r="F43">
        <v>3.7</v>
      </c>
      <c r="G43">
        <v>200</v>
      </c>
      <c r="H43">
        <v>1</v>
      </c>
      <c r="I43" s="2">
        <v>0.2</v>
      </c>
      <c r="J43" t="s">
        <v>61</v>
      </c>
      <c r="K43" t="s">
        <v>78</v>
      </c>
      <c r="L43" t="s">
        <v>27</v>
      </c>
      <c r="M43" t="s">
        <v>23</v>
      </c>
    </row>
    <row r="44" spans="3:13" ht="14.25" customHeight="1" x14ac:dyDescent="0.3">
      <c r="C44" t="s">
        <v>56</v>
      </c>
      <c r="D44">
        <v>7.1</v>
      </c>
      <c r="E44">
        <v>2.1</v>
      </c>
      <c r="F44">
        <v>3.7</v>
      </c>
      <c r="G44">
        <v>500</v>
      </c>
      <c r="H44">
        <v>1</v>
      </c>
      <c r="I44" s="2">
        <v>0.193</v>
      </c>
      <c r="J44" t="s">
        <v>61</v>
      </c>
      <c r="K44" t="s">
        <v>78</v>
      </c>
      <c r="L44" t="s">
        <v>27</v>
      </c>
      <c r="M44" t="s">
        <v>23</v>
      </c>
    </row>
    <row r="45" spans="3:13" ht="14.25" customHeight="1" x14ac:dyDescent="0.3">
      <c r="C45" t="s">
        <v>56</v>
      </c>
      <c r="D45">
        <v>7.1</v>
      </c>
      <c r="E45">
        <v>2.1</v>
      </c>
      <c r="F45">
        <v>3.7</v>
      </c>
      <c r="G45">
        <v>1000</v>
      </c>
      <c r="H45">
        <v>1</v>
      </c>
      <c r="I45" s="2">
        <f>0.35+190/G45</f>
        <v>0.54</v>
      </c>
      <c r="J45" t="s">
        <v>80</v>
      </c>
      <c r="K45" t="s">
        <v>75</v>
      </c>
      <c r="L45" t="s">
        <v>27</v>
      </c>
      <c r="M45" t="s">
        <v>23</v>
      </c>
    </row>
    <row r="46" spans="3:13" ht="14.25" customHeight="1" x14ac:dyDescent="0.3">
      <c r="C46" t="s">
        <v>56</v>
      </c>
      <c r="D46">
        <v>7.1</v>
      </c>
      <c r="E46">
        <v>2.1</v>
      </c>
      <c r="F46">
        <v>3.7</v>
      </c>
      <c r="G46">
        <v>1000</v>
      </c>
      <c r="H46">
        <v>1</v>
      </c>
      <c r="I46" s="2">
        <v>0.25</v>
      </c>
      <c r="J46" t="s">
        <v>81</v>
      </c>
      <c r="K46" t="s">
        <v>82</v>
      </c>
      <c r="L46" t="s">
        <v>27</v>
      </c>
      <c r="M46" t="s">
        <v>33</v>
      </c>
    </row>
    <row r="47" spans="3:13" ht="14.25" customHeight="1" x14ac:dyDescent="0.3">
      <c r="C47" t="s">
        <v>56</v>
      </c>
      <c r="D47">
        <v>7.1</v>
      </c>
      <c r="E47">
        <v>2.1</v>
      </c>
      <c r="F47">
        <v>3.7</v>
      </c>
      <c r="G47">
        <v>1000</v>
      </c>
      <c r="H47">
        <v>1</v>
      </c>
      <c r="I47" s="2">
        <f>0.187*1.09</f>
        <v>0.20383000000000001</v>
      </c>
      <c r="J47" t="s">
        <v>83</v>
      </c>
      <c r="K47" t="s">
        <v>78</v>
      </c>
      <c r="L47" t="s">
        <v>27</v>
      </c>
      <c r="M47" t="s">
        <v>23</v>
      </c>
    </row>
    <row r="48" spans="3:13" ht="14.25" customHeight="1" x14ac:dyDescent="0.3">
      <c r="C48" t="s">
        <v>56</v>
      </c>
      <c r="D48">
        <v>7.1</v>
      </c>
      <c r="E48">
        <v>2.1</v>
      </c>
      <c r="F48">
        <v>3.7</v>
      </c>
      <c r="G48">
        <v>5000</v>
      </c>
      <c r="H48">
        <v>1</v>
      </c>
      <c r="I48" s="2">
        <v>0.19</v>
      </c>
      <c r="J48" t="s">
        <v>84</v>
      </c>
      <c r="K48" t="s">
        <v>82</v>
      </c>
      <c r="L48" t="s">
        <v>27</v>
      </c>
      <c r="M48" t="s">
        <v>33</v>
      </c>
    </row>
    <row r="49" spans="3:13" ht="14.25" customHeight="1" x14ac:dyDescent="0.3">
      <c r="C49" t="s">
        <v>56</v>
      </c>
      <c r="D49">
        <v>7.1</v>
      </c>
      <c r="E49">
        <v>2.1</v>
      </c>
      <c r="F49">
        <v>3.7</v>
      </c>
      <c r="G49">
        <v>6000</v>
      </c>
      <c r="H49">
        <v>1</v>
      </c>
      <c r="I49" s="2">
        <v>0.18</v>
      </c>
      <c r="J49" t="s">
        <v>84</v>
      </c>
      <c r="K49" t="s">
        <v>82</v>
      </c>
      <c r="L49" t="s">
        <v>27</v>
      </c>
      <c r="M49" t="s">
        <v>33</v>
      </c>
    </row>
    <row r="50" spans="3:13" ht="14.25" customHeight="1" x14ac:dyDescent="0.3">
      <c r="C50" t="s">
        <v>56</v>
      </c>
      <c r="D50">
        <v>7.1</v>
      </c>
      <c r="E50">
        <v>2.1</v>
      </c>
      <c r="F50">
        <v>19.2</v>
      </c>
      <c r="G50">
        <v>200</v>
      </c>
      <c r="H50">
        <v>1</v>
      </c>
      <c r="I50" s="2">
        <v>2.65</v>
      </c>
      <c r="J50" t="s">
        <v>85</v>
      </c>
      <c r="K50" t="s">
        <v>86</v>
      </c>
      <c r="L50" t="s">
        <v>27</v>
      </c>
      <c r="M50" t="s">
        <v>23</v>
      </c>
    </row>
    <row r="51" spans="3:13" ht="14.25" customHeight="1" x14ac:dyDescent="0.3">
      <c r="C51" t="s">
        <v>56</v>
      </c>
      <c r="D51">
        <v>7.1</v>
      </c>
      <c r="E51">
        <v>2.1</v>
      </c>
      <c r="F51">
        <v>19.2</v>
      </c>
      <c r="G51">
        <v>500</v>
      </c>
      <c r="H51">
        <v>1</v>
      </c>
      <c r="I51" s="2">
        <v>2.58</v>
      </c>
      <c r="J51" t="s">
        <v>85</v>
      </c>
      <c r="K51" t="s">
        <v>86</v>
      </c>
      <c r="L51" t="s">
        <v>27</v>
      </c>
      <c r="M51" t="s">
        <v>23</v>
      </c>
    </row>
    <row r="52" spans="3:13" ht="14.25" customHeight="1" x14ac:dyDescent="0.3">
      <c r="C52" t="s">
        <v>56</v>
      </c>
      <c r="D52">
        <v>7.1</v>
      </c>
      <c r="E52">
        <v>2.1</v>
      </c>
      <c r="F52">
        <v>19.2</v>
      </c>
      <c r="G52">
        <v>1000</v>
      </c>
      <c r="H52">
        <v>1</v>
      </c>
      <c r="I52" s="2">
        <v>1.25</v>
      </c>
      <c r="J52" t="s">
        <v>87</v>
      </c>
      <c r="K52" t="s">
        <v>88</v>
      </c>
      <c r="L52" t="s">
        <v>89</v>
      </c>
      <c r="M52" t="s">
        <v>33</v>
      </c>
    </row>
    <row r="53" spans="3:13" ht="14.25" customHeight="1" x14ac:dyDescent="0.3">
      <c r="C53" t="s">
        <v>56</v>
      </c>
      <c r="D53">
        <v>7.1</v>
      </c>
      <c r="E53">
        <v>2.1</v>
      </c>
      <c r="F53">
        <v>19.2</v>
      </c>
      <c r="G53">
        <v>1000</v>
      </c>
      <c r="H53">
        <v>1</v>
      </c>
      <c r="I53" s="2">
        <v>2.4500000000000002</v>
      </c>
      <c r="J53" t="s">
        <v>85</v>
      </c>
      <c r="K53" t="s">
        <v>86</v>
      </c>
      <c r="L53" t="s">
        <v>27</v>
      </c>
      <c r="M53" t="s">
        <v>23</v>
      </c>
    </row>
    <row r="54" spans="3:13" ht="14.25" customHeight="1" x14ac:dyDescent="0.3">
      <c r="C54" t="s">
        <v>56</v>
      </c>
      <c r="D54">
        <v>7.1</v>
      </c>
      <c r="E54">
        <v>2.1</v>
      </c>
      <c r="F54">
        <v>19.2</v>
      </c>
      <c r="G54">
        <v>1000</v>
      </c>
      <c r="H54">
        <v>1</v>
      </c>
      <c r="I54" s="2">
        <f>1.25*0.895</f>
        <v>1.1187499999999999</v>
      </c>
      <c r="J54" t="s">
        <v>90</v>
      </c>
      <c r="K54" t="s">
        <v>91</v>
      </c>
      <c r="L54" t="s">
        <v>89</v>
      </c>
      <c r="M54" t="s">
        <v>23</v>
      </c>
    </row>
    <row r="55" spans="3:13" ht="14.25" customHeight="1" x14ac:dyDescent="0.3">
      <c r="C55" t="s">
        <v>92</v>
      </c>
      <c r="D55">
        <v>7.1</v>
      </c>
      <c r="E55">
        <v>3.5</v>
      </c>
      <c r="F55">
        <v>5</v>
      </c>
      <c r="G55">
        <v>150</v>
      </c>
      <c r="H55">
        <v>1</v>
      </c>
      <c r="I55" s="2">
        <v>0.9</v>
      </c>
      <c r="J55" t="s">
        <v>93</v>
      </c>
      <c r="K55" t="s">
        <v>94</v>
      </c>
      <c r="L55" t="s">
        <v>32</v>
      </c>
      <c r="M55" t="s">
        <v>28</v>
      </c>
    </row>
    <row r="56" spans="3:13" ht="14.25" customHeight="1" x14ac:dyDescent="0.3">
      <c r="C56" t="s">
        <v>56</v>
      </c>
      <c r="D56">
        <v>7.2</v>
      </c>
      <c r="E56">
        <v>2.1</v>
      </c>
      <c r="F56">
        <v>2.7</v>
      </c>
      <c r="G56">
        <v>50</v>
      </c>
      <c r="H56">
        <v>1</v>
      </c>
      <c r="I56" s="2">
        <f>0.33+220/G56</f>
        <v>4.7300000000000004</v>
      </c>
      <c r="J56" t="s">
        <v>87</v>
      </c>
      <c r="K56" t="s">
        <v>95</v>
      </c>
      <c r="L56" t="s">
        <v>27</v>
      </c>
      <c r="M56" t="s">
        <v>23</v>
      </c>
    </row>
    <row r="57" spans="3:13" ht="14.25" customHeight="1" x14ac:dyDescent="0.3">
      <c r="C57" t="s">
        <v>56</v>
      </c>
      <c r="D57">
        <v>7.2</v>
      </c>
      <c r="E57">
        <v>2.1</v>
      </c>
      <c r="F57">
        <v>2.7</v>
      </c>
      <c r="G57">
        <v>100</v>
      </c>
      <c r="H57">
        <v>1</v>
      </c>
      <c r="I57" s="2">
        <f>0.33+220/G57</f>
        <v>2.5300000000000002</v>
      </c>
      <c r="J57" t="s">
        <v>87</v>
      </c>
      <c r="K57" t="s">
        <v>95</v>
      </c>
      <c r="L57" t="s">
        <v>27</v>
      </c>
      <c r="M57" t="s">
        <v>23</v>
      </c>
    </row>
    <row r="58" spans="3:13" ht="14.25" customHeight="1" x14ac:dyDescent="0.3">
      <c r="C58" t="s">
        <v>96</v>
      </c>
      <c r="D58">
        <v>7.2</v>
      </c>
      <c r="E58">
        <v>4.2</v>
      </c>
      <c r="F58">
        <v>1</v>
      </c>
      <c r="G58">
        <v>16</v>
      </c>
      <c r="H58">
        <v>1</v>
      </c>
      <c r="I58" s="2">
        <v>0.1</v>
      </c>
      <c r="J58" t="s">
        <v>58</v>
      </c>
      <c r="K58" t="s">
        <v>97</v>
      </c>
      <c r="L58" t="s">
        <v>89</v>
      </c>
      <c r="M58" t="s">
        <v>23</v>
      </c>
    </row>
    <row r="59" spans="3:13" ht="14.25" customHeight="1" x14ac:dyDescent="0.3">
      <c r="C59" t="s">
        <v>92</v>
      </c>
      <c r="D59">
        <v>7.2</v>
      </c>
      <c r="E59">
        <v>5</v>
      </c>
      <c r="F59">
        <v>3</v>
      </c>
      <c r="G59">
        <v>100</v>
      </c>
      <c r="H59">
        <v>1</v>
      </c>
      <c r="I59" s="2">
        <v>1.2</v>
      </c>
      <c r="J59" t="s">
        <v>98</v>
      </c>
      <c r="K59" t="s">
        <v>94</v>
      </c>
      <c r="L59" t="s">
        <v>40</v>
      </c>
      <c r="M59" t="s">
        <v>28</v>
      </c>
    </row>
    <row r="60" spans="3:13" ht="14.25" customHeight="1" x14ac:dyDescent="0.3">
      <c r="C60" t="s">
        <v>92</v>
      </c>
      <c r="D60">
        <v>7.2</v>
      </c>
      <c r="E60">
        <v>5</v>
      </c>
      <c r="F60">
        <v>3</v>
      </c>
      <c r="G60">
        <v>100</v>
      </c>
      <c r="H60">
        <v>1</v>
      </c>
      <c r="I60" s="2">
        <v>0.2</v>
      </c>
      <c r="J60" t="s">
        <v>99</v>
      </c>
      <c r="K60" t="s">
        <v>100</v>
      </c>
      <c r="L60" t="s">
        <v>101</v>
      </c>
      <c r="M60" t="s">
        <v>51</v>
      </c>
    </row>
    <row r="61" spans="3:13" ht="14.25" customHeight="1" x14ac:dyDescent="0.3">
      <c r="C61" t="s">
        <v>92</v>
      </c>
      <c r="D61">
        <v>7.2</v>
      </c>
      <c r="E61">
        <v>5</v>
      </c>
      <c r="F61">
        <v>3</v>
      </c>
      <c r="G61">
        <v>100</v>
      </c>
      <c r="H61">
        <v>1</v>
      </c>
      <c r="I61" s="2">
        <v>0.1</v>
      </c>
      <c r="J61" t="s">
        <v>102</v>
      </c>
      <c r="K61" t="s">
        <v>103</v>
      </c>
      <c r="L61" t="s">
        <v>101</v>
      </c>
      <c r="M61" t="s">
        <v>51</v>
      </c>
    </row>
    <row r="62" spans="3:13" ht="14.25" customHeight="1" x14ac:dyDescent="0.3">
      <c r="C62" t="s">
        <v>92</v>
      </c>
      <c r="D62">
        <v>7.2</v>
      </c>
      <c r="E62">
        <v>5</v>
      </c>
      <c r="F62">
        <v>3</v>
      </c>
      <c r="G62">
        <v>300</v>
      </c>
      <c r="H62">
        <v>1</v>
      </c>
      <c r="I62" s="2">
        <f>0.38+190/G62</f>
        <v>1.0133333333333332</v>
      </c>
      <c r="J62" t="s">
        <v>104</v>
      </c>
      <c r="K62" t="s">
        <v>105</v>
      </c>
      <c r="L62" t="s">
        <v>27</v>
      </c>
      <c r="M62" t="s">
        <v>23</v>
      </c>
    </row>
    <row r="63" spans="3:13" ht="14.25" customHeight="1" x14ac:dyDescent="0.3">
      <c r="C63" t="s">
        <v>92</v>
      </c>
      <c r="D63">
        <v>7.2</v>
      </c>
      <c r="E63">
        <v>5</v>
      </c>
      <c r="F63">
        <v>3</v>
      </c>
      <c r="G63">
        <v>540</v>
      </c>
      <c r="H63">
        <v>1</v>
      </c>
      <c r="I63" s="2">
        <f>0.24+190/G63</f>
        <v>0.59185185185185185</v>
      </c>
      <c r="J63" t="s">
        <v>102</v>
      </c>
      <c r="K63" t="s">
        <v>106</v>
      </c>
      <c r="L63" t="s">
        <v>101</v>
      </c>
      <c r="M63" t="s">
        <v>23</v>
      </c>
    </row>
    <row r="64" spans="3:13" ht="14.25" customHeight="1" x14ac:dyDescent="0.3">
      <c r="C64" t="s">
        <v>96</v>
      </c>
      <c r="D64">
        <v>7.3</v>
      </c>
      <c r="E64">
        <v>7.2</v>
      </c>
      <c r="F64">
        <v>1</v>
      </c>
      <c r="G64">
        <v>2</v>
      </c>
      <c r="H64">
        <v>1</v>
      </c>
      <c r="I64" s="2">
        <v>0.2</v>
      </c>
      <c r="J64" t="s">
        <v>58</v>
      </c>
      <c r="K64" t="s">
        <v>97</v>
      </c>
      <c r="L64" t="s">
        <v>89</v>
      </c>
      <c r="M64" t="s">
        <v>23</v>
      </c>
    </row>
    <row r="65" spans="3:13" ht="14.25" customHeight="1" x14ac:dyDescent="0.3">
      <c r="C65" t="s">
        <v>107</v>
      </c>
      <c r="D65">
        <v>7.4</v>
      </c>
      <c r="E65">
        <v>7.4</v>
      </c>
      <c r="F65">
        <v>0.8</v>
      </c>
      <c r="G65">
        <v>5000</v>
      </c>
      <c r="H65">
        <v>1</v>
      </c>
      <c r="I65" s="2">
        <v>7.0000000000000007E-2</v>
      </c>
      <c r="J65" t="s">
        <v>108</v>
      </c>
      <c r="K65" t="s">
        <v>109</v>
      </c>
      <c r="L65" t="s">
        <v>22</v>
      </c>
      <c r="M65" t="s">
        <v>28</v>
      </c>
    </row>
    <row r="66" spans="3:13" ht="14.25" customHeight="1" x14ac:dyDescent="0.3">
      <c r="C66" t="s">
        <v>107</v>
      </c>
      <c r="D66">
        <v>7.4</v>
      </c>
      <c r="E66">
        <v>7.4</v>
      </c>
      <c r="F66">
        <v>0.8</v>
      </c>
      <c r="G66">
        <v>5000</v>
      </c>
      <c r="H66">
        <v>1</v>
      </c>
      <c r="I66" s="2">
        <v>0.12</v>
      </c>
      <c r="J66" t="s">
        <v>110</v>
      </c>
      <c r="K66" t="s">
        <v>111</v>
      </c>
      <c r="L66" t="s">
        <v>22</v>
      </c>
      <c r="M66" t="s">
        <v>23</v>
      </c>
    </row>
    <row r="67" spans="3:13" ht="14.25" customHeight="1" x14ac:dyDescent="0.3">
      <c r="C67" t="s">
        <v>107</v>
      </c>
      <c r="D67">
        <v>7.4</v>
      </c>
      <c r="E67">
        <v>7.4</v>
      </c>
      <c r="F67">
        <v>0.8</v>
      </c>
      <c r="G67">
        <v>5000</v>
      </c>
      <c r="H67">
        <v>1</v>
      </c>
      <c r="I67" s="2">
        <v>6.4000000000000001E-2</v>
      </c>
      <c r="J67" t="s">
        <v>112</v>
      </c>
      <c r="K67" t="s">
        <v>113</v>
      </c>
      <c r="L67" t="s">
        <v>22</v>
      </c>
      <c r="M67" t="s">
        <v>33</v>
      </c>
    </row>
    <row r="68" spans="3:13" ht="14.25" customHeight="1" x14ac:dyDescent="0.3">
      <c r="C68" t="s">
        <v>34</v>
      </c>
      <c r="D68">
        <v>7.5</v>
      </c>
      <c r="E68">
        <v>2.9</v>
      </c>
      <c r="F68">
        <v>8</v>
      </c>
      <c r="G68">
        <v>1000</v>
      </c>
      <c r="H68">
        <v>1</v>
      </c>
      <c r="I68" s="2">
        <v>0.19</v>
      </c>
      <c r="J68" t="s">
        <v>35</v>
      </c>
      <c r="K68" t="s">
        <v>114</v>
      </c>
      <c r="L68" t="s">
        <v>101</v>
      </c>
      <c r="M68" t="s">
        <v>28</v>
      </c>
    </row>
    <row r="69" spans="3:13" ht="14.25" customHeight="1" x14ac:dyDescent="0.3">
      <c r="C69" t="s">
        <v>34</v>
      </c>
      <c r="D69">
        <v>7.5</v>
      </c>
      <c r="E69">
        <v>2.9</v>
      </c>
      <c r="F69">
        <v>8</v>
      </c>
      <c r="G69">
        <v>1000</v>
      </c>
      <c r="H69">
        <v>1</v>
      </c>
      <c r="I69" s="2">
        <f>0.59+100/G69</f>
        <v>0.69</v>
      </c>
      <c r="J69" t="s">
        <v>30</v>
      </c>
      <c r="K69" t="s">
        <v>115</v>
      </c>
      <c r="L69" t="s">
        <v>101</v>
      </c>
      <c r="M69" t="s">
        <v>33</v>
      </c>
    </row>
    <row r="70" spans="3:13" ht="14.25" customHeight="1" x14ac:dyDescent="0.3">
      <c r="C70" t="s">
        <v>34</v>
      </c>
      <c r="D70">
        <v>7.5</v>
      </c>
      <c r="E70">
        <v>3</v>
      </c>
      <c r="F70">
        <v>4</v>
      </c>
      <c r="G70">
        <v>1000</v>
      </c>
      <c r="H70">
        <v>1</v>
      </c>
      <c r="I70" s="2">
        <v>0.15</v>
      </c>
      <c r="J70" t="s">
        <v>35</v>
      </c>
      <c r="K70" t="s">
        <v>116</v>
      </c>
      <c r="L70" t="s">
        <v>101</v>
      </c>
      <c r="M70" t="s">
        <v>28</v>
      </c>
    </row>
    <row r="71" spans="3:13" ht="14.25" customHeight="1" x14ac:dyDescent="0.3">
      <c r="C71" t="s">
        <v>34</v>
      </c>
      <c r="D71">
        <v>7.5</v>
      </c>
      <c r="E71">
        <v>3</v>
      </c>
      <c r="F71">
        <v>4</v>
      </c>
      <c r="G71">
        <v>1000</v>
      </c>
      <c r="H71">
        <v>1</v>
      </c>
      <c r="I71" s="2">
        <v>0.3</v>
      </c>
      <c r="J71" t="s">
        <v>117</v>
      </c>
      <c r="K71" t="s">
        <v>116</v>
      </c>
      <c r="L71" t="s">
        <v>101</v>
      </c>
      <c r="M71" t="s">
        <v>118</v>
      </c>
    </row>
    <row r="72" spans="3:13" ht="14.25" customHeight="1" x14ac:dyDescent="0.3">
      <c r="C72" t="s">
        <v>34</v>
      </c>
      <c r="D72">
        <v>7.5</v>
      </c>
      <c r="E72">
        <v>3</v>
      </c>
      <c r="F72">
        <v>4</v>
      </c>
      <c r="G72">
        <v>1000</v>
      </c>
      <c r="H72">
        <v>1</v>
      </c>
      <c r="I72" s="2">
        <v>0.53</v>
      </c>
      <c r="J72" t="s">
        <v>30</v>
      </c>
      <c r="K72" t="s">
        <v>116</v>
      </c>
      <c r="L72" t="s">
        <v>101</v>
      </c>
      <c r="M72" t="s">
        <v>33</v>
      </c>
    </row>
    <row r="73" spans="3:13" ht="14.25" customHeight="1" x14ac:dyDescent="0.3">
      <c r="C73" t="s">
        <v>34</v>
      </c>
      <c r="D73">
        <v>7.5</v>
      </c>
      <c r="E73">
        <v>3</v>
      </c>
      <c r="F73">
        <v>4</v>
      </c>
      <c r="G73">
        <v>1000</v>
      </c>
      <c r="H73">
        <v>1</v>
      </c>
      <c r="I73" s="2">
        <v>2.11</v>
      </c>
      <c r="J73" t="s">
        <v>119</v>
      </c>
      <c r="K73" t="s">
        <v>116</v>
      </c>
      <c r="L73" t="s">
        <v>101</v>
      </c>
      <c r="M73" t="s">
        <v>76</v>
      </c>
    </row>
    <row r="74" spans="3:13" ht="14.25" customHeight="1" x14ac:dyDescent="0.3">
      <c r="C74" t="s">
        <v>120</v>
      </c>
      <c r="D74">
        <v>8</v>
      </c>
      <c r="E74">
        <v>5.5</v>
      </c>
      <c r="F74">
        <v>1</v>
      </c>
      <c r="G74">
        <v>1</v>
      </c>
      <c r="H74">
        <v>1</v>
      </c>
      <c r="I74" s="2">
        <v>0.2</v>
      </c>
      <c r="J74" t="s">
        <v>121</v>
      </c>
      <c r="K74" t="s">
        <v>97</v>
      </c>
      <c r="L74" t="s">
        <v>89</v>
      </c>
      <c r="M74" t="s">
        <v>23</v>
      </c>
    </row>
    <row r="75" spans="3:13" ht="14.25" customHeight="1" x14ac:dyDescent="0.3">
      <c r="C75" t="s">
        <v>122</v>
      </c>
      <c r="D75">
        <v>8</v>
      </c>
      <c r="E75">
        <v>7.4</v>
      </c>
      <c r="F75">
        <v>1</v>
      </c>
      <c r="G75">
        <v>1000</v>
      </c>
      <c r="H75">
        <v>1</v>
      </c>
      <c r="I75" s="2">
        <f>0.187+180/1000</f>
        <v>0.36699999999999999</v>
      </c>
      <c r="J75" t="s">
        <v>99</v>
      </c>
      <c r="K75" t="s">
        <v>123</v>
      </c>
      <c r="L75" t="s">
        <v>101</v>
      </c>
      <c r="M75" t="s">
        <v>23</v>
      </c>
    </row>
    <row r="76" spans="3:13" ht="14.25" customHeight="1" x14ac:dyDescent="0.3">
      <c r="C76" t="s">
        <v>124</v>
      </c>
      <c r="D76">
        <v>8</v>
      </c>
      <c r="E76">
        <v>8</v>
      </c>
      <c r="F76">
        <v>2</v>
      </c>
      <c r="G76">
        <v>2</v>
      </c>
      <c r="H76">
        <v>1</v>
      </c>
      <c r="I76" s="2">
        <v>0.4</v>
      </c>
      <c r="J76" t="s">
        <v>125</v>
      </c>
      <c r="K76" t="s">
        <v>126</v>
      </c>
      <c r="L76" t="s">
        <v>127</v>
      </c>
      <c r="M76" t="s">
        <v>23</v>
      </c>
    </row>
    <row r="77" spans="3:13" ht="14.25" customHeight="1" x14ac:dyDescent="0.3">
      <c r="C77" t="s">
        <v>96</v>
      </c>
      <c r="D77">
        <v>8.1999999999999993</v>
      </c>
      <c r="E77">
        <v>4.2</v>
      </c>
      <c r="F77">
        <v>1</v>
      </c>
      <c r="G77">
        <v>40</v>
      </c>
      <c r="H77">
        <v>1</v>
      </c>
      <c r="I77" s="2">
        <v>0.5</v>
      </c>
      <c r="J77" t="s">
        <v>58</v>
      </c>
      <c r="K77" t="s">
        <v>97</v>
      </c>
      <c r="L77" t="s">
        <v>89</v>
      </c>
      <c r="M77" t="s">
        <v>23</v>
      </c>
    </row>
    <row r="78" spans="3:13" ht="14.25" customHeight="1" x14ac:dyDescent="0.3">
      <c r="C78" t="s">
        <v>96</v>
      </c>
      <c r="D78">
        <v>8.1999999999999993</v>
      </c>
      <c r="E78">
        <v>7.2</v>
      </c>
      <c r="F78">
        <v>0.5</v>
      </c>
      <c r="G78">
        <v>34</v>
      </c>
      <c r="H78">
        <v>1</v>
      </c>
      <c r="I78" s="2">
        <v>0.2</v>
      </c>
      <c r="J78" t="s">
        <v>58</v>
      </c>
      <c r="K78" t="s">
        <v>97</v>
      </c>
      <c r="L78" t="s">
        <v>89</v>
      </c>
      <c r="M78" t="s">
        <v>23</v>
      </c>
    </row>
    <row r="79" spans="3:13" ht="14.25" customHeight="1" x14ac:dyDescent="0.3">
      <c r="C79" t="s">
        <v>96</v>
      </c>
      <c r="D79">
        <v>8.1999999999999993</v>
      </c>
      <c r="E79">
        <v>7.2</v>
      </c>
      <c r="F79">
        <v>1</v>
      </c>
      <c r="G79">
        <v>2</v>
      </c>
      <c r="H79">
        <v>1</v>
      </c>
      <c r="I79" s="2">
        <v>0.2</v>
      </c>
      <c r="J79" t="s">
        <v>58</v>
      </c>
      <c r="K79" t="s">
        <v>97</v>
      </c>
      <c r="L79" t="s">
        <v>89</v>
      </c>
      <c r="M79" t="s">
        <v>23</v>
      </c>
    </row>
    <row r="80" spans="3:13" ht="14.25" customHeight="1" x14ac:dyDescent="0.3">
      <c r="C80" t="s">
        <v>96</v>
      </c>
      <c r="D80">
        <v>8.1999999999999993</v>
      </c>
      <c r="E80">
        <v>7.2</v>
      </c>
      <c r="F80">
        <v>3.6</v>
      </c>
      <c r="G80">
        <v>2</v>
      </c>
      <c r="H80">
        <v>1</v>
      </c>
      <c r="I80" s="2">
        <v>1</v>
      </c>
      <c r="J80" t="s">
        <v>58</v>
      </c>
      <c r="K80" t="s">
        <v>97</v>
      </c>
      <c r="L80" t="s">
        <v>89</v>
      </c>
      <c r="M80" t="s">
        <v>23</v>
      </c>
    </row>
    <row r="81" spans="3:13" ht="14.25" customHeight="1" x14ac:dyDescent="0.3">
      <c r="C81" t="s">
        <v>96</v>
      </c>
      <c r="D81">
        <v>8.1999999999999993</v>
      </c>
      <c r="E81">
        <v>7.2</v>
      </c>
      <c r="F81">
        <v>4.5999999999999996</v>
      </c>
      <c r="G81">
        <v>2</v>
      </c>
      <c r="H81">
        <v>1</v>
      </c>
      <c r="I81" s="2">
        <v>1</v>
      </c>
      <c r="J81" t="s">
        <v>58</v>
      </c>
      <c r="K81" t="s">
        <v>97</v>
      </c>
      <c r="L81" t="s">
        <v>89</v>
      </c>
      <c r="M81" t="s">
        <v>23</v>
      </c>
    </row>
    <row r="82" spans="3:13" ht="14.25" customHeight="1" x14ac:dyDescent="0.3">
      <c r="C82" t="s">
        <v>128</v>
      </c>
      <c r="D82">
        <v>8.3000000000000007</v>
      </c>
      <c r="E82">
        <v>2.8</v>
      </c>
      <c r="F82">
        <v>6</v>
      </c>
      <c r="G82">
        <v>13110</v>
      </c>
      <c r="H82">
        <v>1</v>
      </c>
      <c r="I82" s="2">
        <v>0.251</v>
      </c>
      <c r="J82" t="s">
        <v>129</v>
      </c>
      <c r="K82" t="s">
        <v>130</v>
      </c>
      <c r="L82" t="s">
        <v>131</v>
      </c>
      <c r="M82" t="s">
        <v>132</v>
      </c>
    </row>
    <row r="83" spans="3:13" ht="14.25" customHeight="1" x14ac:dyDescent="0.3">
      <c r="C83" t="s">
        <v>128</v>
      </c>
      <c r="D83">
        <v>8.3000000000000007</v>
      </c>
      <c r="E83">
        <v>2.8</v>
      </c>
      <c r="F83">
        <v>6</v>
      </c>
      <c r="G83">
        <v>21850</v>
      </c>
      <c r="H83">
        <v>1</v>
      </c>
      <c r="I83" s="2">
        <v>0.251</v>
      </c>
      <c r="J83" t="s">
        <v>129</v>
      </c>
      <c r="K83" t="s">
        <v>130</v>
      </c>
      <c r="L83" t="s">
        <v>131</v>
      </c>
      <c r="M83" t="s">
        <v>132</v>
      </c>
    </row>
    <row r="84" spans="3:13" ht="14.25" customHeight="1" x14ac:dyDescent="0.3">
      <c r="C84" t="s">
        <v>128</v>
      </c>
      <c r="D84">
        <v>8.3000000000000007</v>
      </c>
      <c r="E84">
        <v>2.8</v>
      </c>
      <c r="F84">
        <v>6</v>
      </c>
      <c r="G84">
        <v>50000</v>
      </c>
      <c r="H84">
        <v>1</v>
      </c>
      <c r="I84" s="2">
        <v>0.08</v>
      </c>
      <c r="J84" t="s">
        <v>133</v>
      </c>
      <c r="K84" t="s">
        <v>134</v>
      </c>
      <c r="L84" t="s">
        <v>131</v>
      </c>
      <c r="M84" t="s">
        <v>45</v>
      </c>
    </row>
    <row r="85" spans="3:13" ht="14.25" customHeight="1" x14ac:dyDescent="0.3">
      <c r="C85" t="s">
        <v>128</v>
      </c>
      <c r="D85">
        <v>8.3000000000000007</v>
      </c>
      <c r="E85">
        <v>2.8</v>
      </c>
      <c r="F85">
        <v>6</v>
      </c>
      <c r="G85">
        <v>52440</v>
      </c>
      <c r="H85">
        <v>1</v>
      </c>
      <c r="I85" s="2">
        <v>0.251</v>
      </c>
      <c r="J85" t="s">
        <v>129</v>
      </c>
      <c r="K85" t="s">
        <v>130</v>
      </c>
      <c r="L85" t="s">
        <v>131</v>
      </c>
      <c r="M85" t="s">
        <v>132</v>
      </c>
    </row>
    <row r="86" spans="3:13" ht="14.25" customHeight="1" x14ac:dyDescent="0.3">
      <c r="C86" t="s">
        <v>128</v>
      </c>
      <c r="D86">
        <v>8.3000000000000007</v>
      </c>
      <c r="E86">
        <v>2.8</v>
      </c>
      <c r="F86">
        <v>6</v>
      </c>
      <c r="G86">
        <v>100000</v>
      </c>
      <c r="H86">
        <v>1</v>
      </c>
      <c r="I86" s="2">
        <v>0.06</v>
      </c>
      <c r="J86" t="s">
        <v>133</v>
      </c>
      <c r="K86" t="s">
        <v>134</v>
      </c>
      <c r="L86" t="s">
        <v>131</v>
      </c>
      <c r="M86" t="s">
        <v>45</v>
      </c>
    </row>
    <row r="87" spans="3:13" ht="14.25" customHeight="1" x14ac:dyDescent="0.3">
      <c r="C87" t="s">
        <v>128</v>
      </c>
      <c r="D87">
        <v>8.3000000000000007</v>
      </c>
      <c r="E87">
        <v>2.8</v>
      </c>
      <c r="F87">
        <v>6</v>
      </c>
      <c r="G87">
        <v>100510</v>
      </c>
      <c r="H87">
        <v>1</v>
      </c>
      <c r="I87" s="2">
        <v>0.251</v>
      </c>
      <c r="J87" t="s">
        <v>129</v>
      </c>
      <c r="K87" t="s">
        <v>130</v>
      </c>
      <c r="L87" t="s">
        <v>131</v>
      </c>
      <c r="M87" t="s">
        <v>132</v>
      </c>
    </row>
    <row r="88" spans="3:13" ht="14.25" customHeight="1" x14ac:dyDescent="0.3">
      <c r="C88" t="s">
        <v>128</v>
      </c>
      <c r="D88">
        <v>8.3000000000000007</v>
      </c>
      <c r="E88">
        <v>2.8</v>
      </c>
      <c r="F88">
        <v>6</v>
      </c>
      <c r="G88">
        <v>150000</v>
      </c>
      <c r="H88">
        <v>1</v>
      </c>
      <c r="I88" s="2">
        <v>0.06</v>
      </c>
      <c r="J88" t="s">
        <v>133</v>
      </c>
      <c r="K88" t="s">
        <v>134</v>
      </c>
      <c r="L88" t="s">
        <v>131</v>
      </c>
      <c r="M88" t="s">
        <v>45</v>
      </c>
    </row>
    <row r="89" spans="3:13" ht="14.25" customHeight="1" x14ac:dyDescent="0.3">
      <c r="C89" t="s">
        <v>128</v>
      </c>
      <c r="D89">
        <v>8.3000000000000007</v>
      </c>
      <c r="E89">
        <v>2.8</v>
      </c>
      <c r="F89">
        <v>6</v>
      </c>
      <c r="G89">
        <v>152950</v>
      </c>
      <c r="H89">
        <v>1</v>
      </c>
      <c r="I89" s="2">
        <v>0.251</v>
      </c>
      <c r="J89" t="s">
        <v>129</v>
      </c>
      <c r="K89" t="s">
        <v>130</v>
      </c>
      <c r="L89" t="s">
        <v>131</v>
      </c>
      <c r="M89" t="s">
        <v>132</v>
      </c>
    </row>
    <row r="90" spans="3:13" ht="14.25" customHeight="1" x14ac:dyDescent="0.3">
      <c r="C90" t="s">
        <v>128</v>
      </c>
      <c r="D90">
        <v>8.3000000000000007</v>
      </c>
      <c r="E90">
        <v>2.8</v>
      </c>
      <c r="F90">
        <v>6</v>
      </c>
      <c r="G90">
        <v>13110</v>
      </c>
      <c r="H90">
        <v>1</v>
      </c>
      <c r="I90" s="2">
        <v>0.17899999999999999</v>
      </c>
      <c r="J90" t="s">
        <v>129</v>
      </c>
      <c r="K90" t="s">
        <v>135</v>
      </c>
      <c r="L90" t="s">
        <v>101</v>
      </c>
      <c r="M90" t="s">
        <v>132</v>
      </c>
    </row>
    <row r="91" spans="3:13" ht="14.25" customHeight="1" x14ac:dyDescent="0.3">
      <c r="C91" t="s">
        <v>128</v>
      </c>
      <c r="D91">
        <v>8.3000000000000007</v>
      </c>
      <c r="E91">
        <v>2.8</v>
      </c>
      <c r="F91">
        <v>6</v>
      </c>
      <c r="G91">
        <v>21850</v>
      </c>
      <c r="H91">
        <v>1</v>
      </c>
      <c r="I91" s="2">
        <v>0.17899999999999999</v>
      </c>
      <c r="J91" t="s">
        <v>129</v>
      </c>
      <c r="K91" t="s">
        <v>136</v>
      </c>
      <c r="L91" t="s">
        <v>101</v>
      </c>
      <c r="M91" t="s">
        <v>132</v>
      </c>
    </row>
    <row r="92" spans="3:13" ht="14.25" customHeight="1" x14ac:dyDescent="0.3">
      <c r="C92" t="s">
        <v>128</v>
      </c>
      <c r="D92">
        <v>8.3000000000000007</v>
      </c>
      <c r="E92">
        <v>2.8</v>
      </c>
      <c r="F92">
        <v>6</v>
      </c>
      <c r="G92">
        <v>52440</v>
      </c>
      <c r="H92">
        <v>1</v>
      </c>
      <c r="I92" s="2">
        <v>0.17899999999999999</v>
      </c>
      <c r="J92" t="s">
        <v>129</v>
      </c>
      <c r="K92" t="s">
        <v>137</v>
      </c>
      <c r="L92" t="s">
        <v>101</v>
      </c>
      <c r="M92" t="s">
        <v>132</v>
      </c>
    </row>
    <row r="93" spans="3:13" ht="14.25" customHeight="1" x14ac:dyDescent="0.3">
      <c r="C93" t="s">
        <v>128</v>
      </c>
      <c r="D93">
        <v>8.3000000000000007</v>
      </c>
      <c r="E93">
        <v>2.8</v>
      </c>
      <c r="F93">
        <v>6</v>
      </c>
      <c r="G93">
        <v>100510</v>
      </c>
      <c r="H93">
        <v>1</v>
      </c>
      <c r="I93" s="2">
        <v>0.17899999999999999</v>
      </c>
      <c r="J93" t="s">
        <v>129</v>
      </c>
      <c r="K93" t="s">
        <v>138</v>
      </c>
      <c r="L93" t="s">
        <v>101</v>
      </c>
      <c r="M93" t="s">
        <v>132</v>
      </c>
    </row>
    <row r="94" spans="3:13" ht="14.25" customHeight="1" x14ac:dyDescent="0.3">
      <c r="C94" t="s">
        <v>128</v>
      </c>
      <c r="D94">
        <v>8.3000000000000007</v>
      </c>
      <c r="E94">
        <v>2.8</v>
      </c>
      <c r="F94">
        <v>6</v>
      </c>
      <c r="G94">
        <v>152950</v>
      </c>
      <c r="H94">
        <v>1</v>
      </c>
      <c r="I94" s="2">
        <v>0.17899999999999999</v>
      </c>
      <c r="J94" t="s">
        <v>129</v>
      </c>
      <c r="K94" t="s">
        <v>139</v>
      </c>
      <c r="L94" t="s">
        <v>101</v>
      </c>
      <c r="M94" t="s">
        <v>132</v>
      </c>
    </row>
    <row r="95" spans="3:13" ht="14.25" customHeight="1" x14ac:dyDescent="0.3">
      <c r="C95" t="s">
        <v>128</v>
      </c>
      <c r="D95">
        <v>8.3000000000000007</v>
      </c>
      <c r="E95">
        <v>2.8</v>
      </c>
      <c r="F95">
        <v>6</v>
      </c>
      <c r="G95">
        <v>10000</v>
      </c>
      <c r="H95">
        <v>1</v>
      </c>
      <c r="I95" s="2">
        <v>0.38</v>
      </c>
      <c r="J95" t="s">
        <v>129</v>
      </c>
      <c r="K95" t="s">
        <v>140</v>
      </c>
      <c r="L95" t="s">
        <v>89</v>
      </c>
      <c r="M95" t="s">
        <v>33</v>
      </c>
    </row>
    <row r="96" spans="3:13" ht="14.25" customHeight="1" x14ac:dyDescent="0.3">
      <c r="C96" t="s">
        <v>128</v>
      </c>
      <c r="D96">
        <v>8.3000000000000007</v>
      </c>
      <c r="E96">
        <v>2.8</v>
      </c>
      <c r="F96">
        <v>6</v>
      </c>
      <c r="G96">
        <v>20000</v>
      </c>
      <c r="H96">
        <v>1</v>
      </c>
      <c r="I96" s="2">
        <v>0.34</v>
      </c>
      <c r="J96" t="s">
        <v>129</v>
      </c>
      <c r="K96" t="s">
        <v>140</v>
      </c>
      <c r="L96" t="s">
        <v>89</v>
      </c>
      <c r="M96" t="s">
        <v>33</v>
      </c>
    </row>
    <row r="97" spans="2:13" ht="14.25" customHeight="1" x14ac:dyDescent="0.3">
      <c r="C97" t="s">
        <v>128</v>
      </c>
      <c r="D97">
        <v>8.3000000000000007</v>
      </c>
      <c r="E97">
        <v>2.8</v>
      </c>
      <c r="F97">
        <v>6</v>
      </c>
      <c r="G97">
        <v>50000</v>
      </c>
      <c r="H97">
        <v>1</v>
      </c>
      <c r="I97" s="2">
        <v>0.32</v>
      </c>
      <c r="J97" t="s">
        <v>129</v>
      </c>
      <c r="K97" t="s">
        <v>140</v>
      </c>
      <c r="L97" t="s">
        <v>89</v>
      </c>
      <c r="M97" t="s">
        <v>33</v>
      </c>
    </row>
    <row r="98" spans="2:13" ht="14.25" customHeight="1" x14ac:dyDescent="0.3">
      <c r="C98" t="s">
        <v>128</v>
      </c>
      <c r="D98">
        <v>8.3000000000000007</v>
      </c>
      <c r="E98">
        <v>2.8</v>
      </c>
      <c r="F98">
        <v>6</v>
      </c>
      <c r="G98">
        <v>100000</v>
      </c>
      <c r="H98">
        <v>1</v>
      </c>
      <c r="I98" s="2">
        <v>0.31</v>
      </c>
      <c r="J98" t="s">
        <v>129</v>
      </c>
      <c r="K98" t="s">
        <v>140</v>
      </c>
      <c r="L98" t="s">
        <v>89</v>
      </c>
      <c r="M98" t="s">
        <v>33</v>
      </c>
    </row>
    <row r="99" spans="2:13" ht="14.25" customHeight="1" x14ac:dyDescent="0.3">
      <c r="C99" t="s">
        <v>128</v>
      </c>
      <c r="D99">
        <v>8.3000000000000007</v>
      </c>
      <c r="E99">
        <v>2.8</v>
      </c>
      <c r="F99">
        <v>6</v>
      </c>
      <c r="G99">
        <v>150000</v>
      </c>
      <c r="H99">
        <v>1</v>
      </c>
      <c r="I99" s="2">
        <v>0.31</v>
      </c>
      <c r="J99" t="s">
        <v>129</v>
      </c>
      <c r="K99" t="s">
        <v>140</v>
      </c>
      <c r="L99" t="s">
        <v>89</v>
      </c>
      <c r="M99" t="s">
        <v>33</v>
      </c>
    </row>
    <row r="100" spans="2:13" ht="14.25" customHeight="1" x14ac:dyDescent="0.3">
      <c r="C100" t="s">
        <v>107</v>
      </c>
      <c r="D100">
        <v>8.4</v>
      </c>
      <c r="E100">
        <v>6.4</v>
      </c>
      <c r="F100">
        <v>0.8</v>
      </c>
      <c r="G100">
        <v>5000</v>
      </c>
      <c r="H100">
        <v>1</v>
      </c>
      <c r="I100" s="2">
        <v>7.0000000000000007E-2</v>
      </c>
      <c r="J100" t="s">
        <v>108</v>
      </c>
      <c r="K100" t="s">
        <v>141</v>
      </c>
      <c r="L100" t="s">
        <v>22</v>
      </c>
      <c r="M100" t="s">
        <v>28</v>
      </c>
    </row>
    <row r="101" spans="2:13" ht="14.25" customHeight="1" x14ac:dyDescent="0.3">
      <c r="C101" t="s">
        <v>107</v>
      </c>
      <c r="D101">
        <v>8.4</v>
      </c>
      <c r="E101">
        <v>6.4</v>
      </c>
      <c r="F101">
        <v>0.8</v>
      </c>
      <c r="G101">
        <v>5000</v>
      </c>
      <c r="H101">
        <v>1</v>
      </c>
      <c r="I101" s="2">
        <v>0.11</v>
      </c>
      <c r="J101" t="s">
        <v>110</v>
      </c>
      <c r="K101" t="s">
        <v>142</v>
      </c>
      <c r="L101" t="s">
        <v>22</v>
      </c>
      <c r="M101" t="s">
        <v>23</v>
      </c>
    </row>
    <row r="102" spans="2:13" ht="14.25" customHeight="1" x14ac:dyDescent="0.3">
      <c r="C102" t="s">
        <v>107</v>
      </c>
      <c r="D102">
        <v>8.4</v>
      </c>
      <c r="E102">
        <v>6.4</v>
      </c>
      <c r="F102">
        <v>0.8</v>
      </c>
      <c r="G102">
        <v>5000</v>
      </c>
      <c r="H102">
        <v>1</v>
      </c>
      <c r="I102" s="2">
        <v>6.4000000000000001E-2</v>
      </c>
      <c r="J102" t="s">
        <v>112</v>
      </c>
      <c r="K102" t="s">
        <v>143</v>
      </c>
      <c r="L102" t="s">
        <v>22</v>
      </c>
      <c r="M102" t="s">
        <v>33</v>
      </c>
    </row>
    <row r="103" spans="2:13" ht="14.25" customHeight="1" x14ac:dyDescent="0.3">
      <c r="C103" t="s">
        <v>144</v>
      </c>
      <c r="D103">
        <v>8.85</v>
      </c>
      <c r="E103">
        <v>3.85</v>
      </c>
      <c r="F103">
        <v>7</v>
      </c>
      <c r="G103">
        <v>6000</v>
      </c>
      <c r="H103">
        <v>1</v>
      </c>
      <c r="I103" s="2">
        <v>0.11</v>
      </c>
      <c r="J103" t="s">
        <v>145</v>
      </c>
      <c r="K103" t="s">
        <v>146</v>
      </c>
      <c r="L103" t="s">
        <v>89</v>
      </c>
      <c r="M103" t="s">
        <v>28</v>
      </c>
    </row>
    <row r="104" spans="2:13" ht="14.25" customHeight="1" x14ac:dyDescent="0.3">
      <c r="B104" s="3"/>
      <c r="C104" t="s">
        <v>147</v>
      </c>
      <c r="D104">
        <v>9</v>
      </c>
      <c r="E104">
        <v>2.5</v>
      </c>
      <c r="F104">
        <v>11.5</v>
      </c>
      <c r="G104">
        <v>550</v>
      </c>
      <c r="H104">
        <v>1</v>
      </c>
      <c r="I104" s="2">
        <v>0.47</v>
      </c>
      <c r="J104" t="s">
        <v>148</v>
      </c>
      <c r="K104" t="s">
        <v>149</v>
      </c>
      <c r="L104" t="s">
        <v>27</v>
      </c>
      <c r="M104" t="s">
        <v>28</v>
      </c>
    </row>
    <row r="105" spans="2:13" ht="14.25" customHeight="1" x14ac:dyDescent="0.3">
      <c r="B105" s="3"/>
      <c r="C105" t="s">
        <v>150</v>
      </c>
      <c r="D105">
        <v>9</v>
      </c>
      <c r="E105">
        <v>5.9</v>
      </c>
      <c r="F105">
        <v>2.1</v>
      </c>
      <c r="G105">
        <v>1000</v>
      </c>
      <c r="H105">
        <v>1</v>
      </c>
      <c r="I105" s="2">
        <f>0.38+120/G105</f>
        <v>0.5</v>
      </c>
      <c r="J105" t="s">
        <v>151</v>
      </c>
      <c r="K105" t="s">
        <v>152</v>
      </c>
      <c r="L105" t="s">
        <v>89</v>
      </c>
      <c r="M105" t="s">
        <v>33</v>
      </c>
    </row>
    <row r="106" spans="2:13" ht="14.25" customHeight="1" x14ac:dyDescent="0.3">
      <c r="B106" s="3"/>
      <c r="C106" t="s">
        <v>147</v>
      </c>
      <c r="D106">
        <v>9</v>
      </c>
      <c r="E106">
        <v>5.9</v>
      </c>
      <c r="F106">
        <v>2.5</v>
      </c>
      <c r="G106">
        <v>2000</v>
      </c>
      <c r="H106">
        <v>1</v>
      </c>
      <c r="I106" s="2">
        <f>0.38+120/G106</f>
        <v>0.44</v>
      </c>
      <c r="J106" t="s">
        <v>153</v>
      </c>
      <c r="K106" t="s">
        <v>152</v>
      </c>
      <c r="L106" t="s">
        <v>89</v>
      </c>
      <c r="M106" t="s">
        <v>33</v>
      </c>
    </row>
    <row r="107" spans="2:13" ht="14.25" customHeight="1" x14ac:dyDescent="0.3">
      <c r="B107" s="3"/>
      <c r="C107" t="s">
        <v>154</v>
      </c>
      <c r="D107">
        <v>9.1</v>
      </c>
      <c r="E107">
        <v>6.5</v>
      </c>
      <c r="F107">
        <v>6.5</v>
      </c>
      <c r="G107">
        <v>200</v>
      </c>
      <c r="H107">
        <v>1</v>
      </c>
      <c r="I107" s="2">
        <v>0.75</v>
      </c>
      <c r="J107" t="s">
        <v>155</v>
      </c>
      <c r="K107" t="s">
        <v>156</v>
      </c>
      <c r="L107" t="s">
        <v>32</v>
      </c>
      <c r="M107" t="s">
        <v>23</v>
      </c>
    </row>
    <row r="108" spans="2:13" ht="14.25" customHeight="1" x14ac:dyDescent="0.3">
      <c r="B108" s="3"/>
      <c r="C108" t="s">
        <v>154</v>
      </c>
      <c r="D108">
        <v>9.1</v>
      </c>
      <c r="E108">
        <v>6.5</v>
      </c>
      <c r="F108">
        <v>6.5</v>
      </c>
      <c r="G108">
        <v>500</v>
      </c>
      <c r="H108">
        <v>1</v>
      </c>
      <c r="I108" s="2">
        <v>0.48299999999999998</v>
      </c>
      <c r="J108" t="s">
        <v>157</v>
      </c>
      <c r="K108" t="s">
        <v>156</v>
      </c>
      <c r="L108" t="s">
        <v>32</v>
      </c>
      <c r="M108" t="s">
        <v>33</v>
      </c>
    </row>
    <row r="109" spans="2:13" ht="14.25" customHeight="1" x14ac:dyDescent="0.3">
      <c r="B109" s="3"/>
      <c r="C109" t="s">
        <v>154</v>
      </c>
      <c r="D109">
        <v>9.1</v>
      </c>
      <c r="E109">
        <v>6.5</v>
      </c>
      <c r="F109">
        <v>6.5</v>
      </c>
      <c r="G109">
        <v>500</v>
      </c>
      <c r="H109">
        <v>1</v>
      </c>
      <c r="I109" s="2">
        <v>0.69</v>
      </c>
      <c r="J109" t="s">
        <v>155</v>
      </c>
      <c r="K109" t="s">
        <v>156</v>
      </c>
      <c r="L109" t="s">
        <v>32</v>
      </c>
      <c r="M109" t="s">
        <v>23</v>
      </c>
    </row>
    <row r="110" spans="2:13" ht="14.25" customHeight="1" x14ac:dyDescent="0.3">
      <c r="B110" s="3"/>
      <c r="C110" t="s">
        <v>154</v>
      </c>
      <c r="D110">
        <v>9.1</v>
      </c>
      <c r="E110">
        <v>6.5</v>
      </c>
      <c r="F110">
        <v>6.5</v>
      </c>
      <c r="G110">
        <v>1000</v>
      </c>
      <c r="H110">
        <v>1</v>
      </c>
      <c r="I110" s="2">
        <v>0.25</v>
      </c>
      <c r="J110" t="s">
        <v>158</v>
      </c>
      <c r="K110" t="s">
        <v>156</v>
      </c>
      <c r="L110" t="s">
        <v>32</v>
      </c>
      <c r="M110" t="s">
        <v>118</v>
      </c>
    </row>
    <row r="111" spans="2:13" ht="14.25" customHeight="1" x14ac:dyDescent="0.3">
      <c r="B111" s="3"/>
      <c r="C111" t="s">
        <v>154</v>
      </c>
      <c r="D111">
        <v>9.1</v>
      </c>
      <c r="E111">
        <v>6.5</v>
      </c>
      <c r="F111">
        <v>6.5</v>
      </c>
      <c r="G111">
        <v>3000</v>
      </c>
      <c r="H111">
        <v>1</v>
      </c>
      <c r="I111" s="2">
        <v>0.24</v>
      </c>
      <c r="J111" t="s">
        <v>159</v>
      </c>
      <c r="K111" t="s">
        <v>156</v>
      </c>
      <c r="L111" t="s">
        <v>32</v>
      </c>
      <c r="M111" t="s">
        <v>118</v>
      </c>
    </row>
    <row r="112" spans="2:13" ht="14.25" customHeight="1" x14ac:dyDescent="0.3">
      <c r="B112" s="3"/>
      <c r="C112" t="s">
        <v>154</v>
      </c>
      <c r="D112">
        <v>9.1</v>
      </c>
      <c r="E112">
        <v>6.5</v>
      </c>
      <c r="F112">
        <v>6.5</v>
      </c>
      <c r="G112">
        <v>3000</v>
      </c>
      <c r="H112">
        <v>1</v>
      </c>
      <c r="I112" s="2">
        <v>0.55000000000000004</v>
      </c>
      <c r="J112" t="s">
        <v>159</v>
      </c>
      <c r="K112" t="s">
        <v>156</v>
      </c>
      <c r="L112" t="s">
        <v>32</v>
      </c>
      <c r="M112" t="s">
        <v>23</v>
      </c>
    </row>
    <row r="113" spans="2:13" ht="14.25" customHeight="1" x14ac:dyDescent="0.3">
      <c r="B113" s="3"/>
      <c r="C113" t="s">
        <v>96</v>
      </c>
      <c r="D113">
        <v>9.1999999999999993</v>
      </c>
      <c r="E113">
        <v>4.2</v>
      </c>
      <c r="F113">
        <v>1</v>
      </c>
      <c r="G113">
        <v>16</v>
      </c>
      <c r="H113">
        <v>1</v>
      </c>
      <c r="I113" s="2">
        <v>0.2</v>
      </c>
      <c r="J113" t="s">
        <v>58</v>
      </c>
      <c r="K113" t="s">
        <v>97</v>
      </c>
      <c r="L113" t="s">
        <v>89</v>
      </c>
      <c r="M113" t="s">
        <v>23</v>
      </c>
    </row>
    <row r="114" spans="2:13" ht="14.25" customHeight="1" x14ac:dyDescent="0.3">
      <c r="C114" t="s">
        <v>96</v>
      </c>
      <c r="D114">
        <v>9.1999999999999993</v>
      </c>
      <c r="E114">
        <v>7.3</v>
      </c>
      <c r="F114">
        <v>1</v>
      </c>
      <c r="G114">
        <v>2</v>
      </c>
      <c r="H114">
        <v>1</v>
      </c>
      <c r="I114" s="2">
        <v>0.2</v>
      </c>
      <c r="J114" t="s">
        <v>58</v>
      </c>
      <c r="K114" t="s">
        <v>97</v>
      </c>
      <c r="L114" t="s">
        <v>89</v>
      </c>
      <c r="M114" t="s">
        <v>23</v>
      </c>
    </row>
    <row r="115" spans="2:13" ht="14.25" customHeight="1" x14ac:dyDescent="0.3">
      <c r="C115" t="s">
        <v>96</v>
      </c>
      <c r="D115">
        <v>9.1999999999999993</v>
      </c>
      <c r="E115">
        <v>8.3000000000000007</v>
      </c>
      <c r="F115">
        <v>1</v>
      </c>
      <c r="G115">
        <v>2</v>
      </c>
      <c r="H115">
        <v>1</v>
      </c>
      <c r="I115" s="2">
        <v>0.2</v>
      </c>
      <c r="J115" t="s">
        <v>58</v>
      </c>
      <c r="K115" t="s">
        <v>97</v>
      </c>
      <c r="L115" t="s">
        <v>32</v>
      </c>
      <c r="M115" t="s">
        <v>23</v>
      </c>
    </row>
    <row r="116" spans="2:13" ht="14.25" customHeight="1" x14ac:dyDescent="0.3">
      <c r="C116" t="s">
        <v>120</v>
      </c>
      <c r="D116">
        <v>10</v>
      </c>
      <c r="E116">
        <v>30</v>
      </c>
      <c r="F116" t="s">
        <v>160</v>
      </c>
      <c r="G116">
        <v>2</v>
      </c>
      <c r="H116">
        <v>1</v>
      </c>
      <c r="I116" s="2">
        <v>12</v>
      </c>
      <c r="J116" t="s">
        <v>121</v>
      </c>
      <c r="K116" t="s">
        <v>161</v>
      </c>
      <c r="L116" t="s">
        <v>89</v>
      </c>
      <c r="M116" t="s">
        <v>23</v>
      </c>
    </row>
    <row r="117" spans="2:13" ht="14.25" customHeight="1" x14ac:dyDescent="0.3">
      <c r="C117" t="s">
        <v>120</v>
      </c>
      <c r="D117">
        <v>10</v>
      </c>
      <c r="E117">
        <v>3</v>
      </c>
      <c r="F117">
        <v>9.5</v>
      </c>
      <c r="G117">
        <v>1</v>
      </c>
      <c r="H117">
        <v>1</v>
      </c>
      <c r="I117" s="2">
        <v>0.3</v>
      </c>
      <c r="J117" t="s">
        <v>121</v>
      </c>
      <c r="K117" t="s">
        <v>97</v>
      </c>
      <c r="L117" t="s">
        <v>89</v>
      </c>
      <c r="M117" t="s">
        <v>23</v>
      </c>
    </row>
    <row r="118" spans="2:13" ht="14.25" customHeight="1" x14ac:dyDescent="0.3">
      <c r="C118" t="s">
        <v>124</v>
      </c>
      <c r="D118">
        <v>10</v>
      </c>
      <c r="E118">
        <v>8.5</v>
      </c>
      <c r="F118">
        <v>2</v>
      </c>
      <c r="G118">
        <v>8</v>
      </c>
      <c r="H118">
        <v>1</v>
      </c>
      <c r="I118" s="2">
        <v>0.42</v>
      </c>
      <c r="J118" t="s">
        <v>125</v>
      </c>
      <c r="K118" t="s">
        <v>126</v>
      </c>
      <c r="L118" t="s">
        <v>127</v>
      </c>
      <c r="M118" t="s">
        <v>23</v>
      </c>
    </row>
    <row r="119" spans="2:13" ht="14.25" customHeight="1" x14ac:dyDescent="0.3">
      <c r="C119" t="s">
        <v>162</v>
      </c>
      <c r="D119">
        <v>10</v>
      </c>
      <c r="E119">
        <v>7</v>
      </c>
      <c r="F119">
        <v>4</v>
      </c>
      <c r="G119">
        <v>12500</v>
      </c>
      <c r="H119">
        <v>1</v>
      </c>
      <c r="I119" s="2">
        <v>0.13</v>
      </c>
      <c r="J119" t="s">
        <v>163</v>
      </c>
      <c r="K119" t="s">
        <v>164</v>
      </c>
      <c r="L119" t="s">
        <v>32</v>
      </c>
      <c r="M119" t="s">
        <v>28</v>
      </c>
    </row>
    <row r="120" spans="2:13" ht="14.25" customHeight="1" x14ac:dyDescent="0.3">
      <c r="C120" t="s">
        <v>162</v>
      </c>
      <c r="D120">
        <v>10</v>
      </c>
      <c r="E120">
        <v>7</v>
      </c>
      <c r="F120">
        <v>4</v>
      </c>
      <c r="G120">
        <v>12500</v>
      </c>
      <c r="H120">
        <v>1</v>
      </c>
      <c r="I120" s="2">
        <v>0.2</v>
      </c>
      <c r="J120" t="s">
        <v>163</v>
      </c>
      <c r="K120" t="s">
        <v>165</v>
      </c>
      <c r="L120" t="s">
        <v>131</v>
      </c>
      <c r="M120" t="s">
        <v>28</v>
      </c>
    </row>
    <row r="121" spans="2:13" ht="14.25" customHeight="1" x14ac:dyDescent="0.3">
      <c r="C121" t="s">
        <v>162</v>
      </c>
      <c r="D121">
        <v>10</v>
      </c>
      <c r="E121">
        <v>7</v>
      </c>
      <c r="F121">
        <v>4</v>
      </c>
      <c r="G121">
        <v>12500</v>
      </c>
      <c r="H121">
        <v>1</v>
      </c>
      <c r="I121" s="2">
        <f>500/G121+0.25</f>
        <v>0.28999999999999998</v>
      </c>
      <c r="J121" t="s">
        <v>166</v>
      </c>
      <c r="K121" t="s">
        <v>167</v>
      </c>
      <c r="L121" t="s">
        <v>40</v>
      </c>
      <c r="M121" t="s">
        <v>168</v>
      </c>
    </row>
    <row r="122" spans="2:13" ht="14.25" customHeight="1" x14ac:dyDescent="0.3">
      <c r="C122" t="s">
        <v>162</v>
      </c>
      <c r="D122">
        <v>10</v>
      </c>
      <c r="E122">
        <v>7</v>
      </c>
      <c r="F122">
        <v>4</v>
      </c>
      <c r="G122">
        <v>12500</v>
      </c>
      <c r="H122">
        <v>1</v>
      </c>
      <c r="I122" s="2">
        <f>0.42</f>
        <v>0.42</v>
      </c>
      <c r="J122" t="s">
        <v>169</v>
      </c>
      <c r="K122" t="s">
        <v>170</v>
      </c>
      <c r="L122" t="s">
        <v>89</v>
      </c>
      <c r="M122" t="s">
        <v>33</v>
      </c>
    </row>
    <row r="123" spans="2:13" ht="14.25" customHeight="1" x14ac:dyDescent="0.3">
      <c r="C123" t="s">
        <v>171</v>
      </c>
      <c r="D123">
        <v>10</v>
      </c>
      <c r="E123">
        <v>7</v>
      </c>
      <c r="F123">
        <v>2</v>
      </c>
      <c r="G123">
        <v>2</v>
      </c>
      <c r="H123">
        <v>1</v>
      </c>
      <c r="I123" s="2">
        <v>0.3</v>
      </c>
      <c r="J123" t="s">
        <v>172</v>
      </c>
      <c r="K123" t="s">
        <v>173</v>
      </c>
      <c r="L123" t="s">
        <v>89</v>
      </c>
      <c r="M123" t="s">
        <v>23</v>
      </c>
    </row>
    <row r="124" spans="2:13" ht="14.25" customHeight="1" x14ac:dyDescent="0.3">
      <c r="C124" t="s">
        <v>120</v>
      </c>
      <c r="D124">
        <v>10</v>
      </c>
      <c r="E124">
        <v>9</v>
      </c>
      <c r="F124">
        <v>1</v>
      </c>
      <c r="G124">
        <v>8</v>
      </c>
      <c r="H124">
        <v>1</v>
      </c>
      <c r="I124" s="2">
        <v>0.08</v>
      </c>
      <c r="J124" t="s">
        <v>174</v>
      </c>
      <c r="K124" t="s">
        <v>173</v>
      </c>
      <c r="L124" t="s">
        <v>89</v>
      </c>
      <c r="M124" t="s">
        <v>23</v>
      </c>
    </row>
    <row r="125" spans="2:13" ht="14.25" customHeight="1" x14ac:dyDescent="0.3">
      <c r="C125" t="s">
        <v>120</v>
      </c>
      <c r="D125">
        <v>10</v>
      </c>
      <c r="E125">
        <v>9</v>
      </c>
      <c r="F125">
        <v>2.5</v>
      </c>
      <c r="G125">
        <v>8</v>
      </c>
      <c r="H125">
        <v>1</v>
      </c>
      <c r="I125" s="2">
        <v>0.2</v>
      </c>
      <c r="J125" t="s">
        <v>174</v>
      </c>
      <c r="K125" t="s">
        <v>173</v>
      </c>
      <c r="L125" t="s">
        <v>89</v>
      </c>
      <c r="M125" t="s">
        <v>23</v>
      </c>
    </row>
    <row r="126" spans="2:13" ht="14.25" customHeight="1" x14ac:dyDescent="0.3">
      <c r="C126" t="s">
        <v>175</v>
      </c>
      <c r="D126">
        <v>10.9</v>
      </c>
      <c r="E126">
        <v>7</v>
      </c>
      <c r="F126">
        <v>8.6</v>
      </c>
      <c r="G126">
        <v>1</v>
      </c>
      <c r="H126">
        <v>1</v>
      </c>
      <c r="I126" s="2">
        <f>250/6</f>
        <v>41.666666666666664</v>
      </c>
      <c r="J126" t="s">
        <v>176</v>
      </c>
      <c r="K126" t="s">
        <v>177</v>
      </c>
      <c r="L126" t="s">
        <v>27</v>
      </c>
      <c r="M126" t="s">
        <v>178</v>
      </c>
    </row>
    <row r="127" spans="2:13" ht="14.25" customHeight="1" x14ac:dyDescent="0.3">
      <c r="C127" t="s">
        <v>179</v>
      </c>
      <c r="D127">
        <v>11.6</v>
      </c>
      <c r="E127">
        <v>11.6</v>
      </c>
      <c r="F127">
        <v>5.5</v>
      </c>
      <c r="G127">
        <v>4000</v>
      </c>
      <c r="H127">
        <v>1</v>
      </c>
      <c r="I127" s="2">
        <f>0.279+220/G127</f>
        <v>0.33400000000000002</v>
      </c>
      <c r="J127" t="s">
        <v>180</v>
      </c>
      <c r="K127" t="s">
        <v>181</v>
      </c>
      <c r="L127" t="s">
        <v>22</v>
      </c>
      <c r="M127" t="s">
        <v>23</v>
      </c>
    </row>
    <row r="128" spans="2:13" ht="14.25" customHeight="1" x14ac:dyDescent="0.3">
      <c r="C128" t="s">
        <v>179</v>
      </c>
      <c r="D128">
        <v>11.6</v>
      </c>
      <c r="E128">
        <v>11.6</v>
      </c>
      <c r="F128">
        <v>5.5</v>
      </c>
      <c r="G128">
        <v>4000</v>
      </c>
      <c r="H128">
        <v>1</v>
      </c>
      <c r="I128" s="2">
        <f>0.558+220/G128</f>
        <v>0.6130000000000001</v>
      </c>
      <c r="J128" t="s">
        <v>180</v>
      </c>
      <c r="K128" t="s">
        <v>182</v>
      </c>
      <c r="L128" t="s">
        <v>89</v>
      </c>
      <c r="M128" t="s">
        <v>23</v>
      </c>
    </row>
    <row r="129" spans="3:13" ht="14.25" customHeight="1" x14ac:dyDescent="0.3">
      <c r="C129" t="s">
        <v>150</v>
      </c>
      <c r="D129">
        <v>12</v>
      </c>
      <c r="E129">
        <v>1</v>
      </c>
      <c r="F129">
        <v>1</v>
      </c>
      <c r="G129">
        <v>20</v>
      </c>
      <c r="H129">
        <v>1</v>
      </c>
      <c r="I129" s="2">
        <v>2.5</v>
      </c>
      <c r="J129" t="s">
        <v>183</v>
      </c>
      <c r="K129" t="s">
        <v>184</v>
      </c>
      <c r="L129" t="s">
        <v>89</v>
      </c>
      <c r="M129" t="s">
        <v>23</v>
      </c>
    </row>
    <row r="130" spans="3:13" ht="14.25" customHeight="1" x14ac:dyDescent="0.3">
      <c r="C130" t="s">
        <v>124</v>
      </c>
      <c r="D130">
        <v>12</v>
      </c>
      <c r="E130">
        <v>8.5</v>
      </c>
      <c r="F130">
        <v>2</v>
      </c>
      <c r="G130">
        <v>12</v>
      </c>
      <c r="H130">
        <v>1</v>
      </c>
      <c r="I130" s="2">
        <v>0.45</v>
      </c>
      <c r="J130" t="s">
        <v>125</v>
      </c>
      <c r="K130" t="s">
        <v>126</v>
      </c>
      <c r="L130" t="s">
        <v>127</v>
      </c>
      <c r="M130" t="s">
        <v>23</v>
      </c>
    </row>
    <row r="131" spans="3:13" ht="14.25" customHeight="1" x14ac:dyDescent="0.3">
      <c r="C131" t="s">
        <v>107</v>
      </c>
      <c r="D131">
        <v>12.35</v>
      </c>
      <c r="E131">
        <v>9.1</v>
      </c>
      <c r="F131">
        <v>0.8</v>
      </c>
      <c r="G131">
        <v>5000</v>
      </c>
      <c r="H131">
        <v>1</v>
      </c>
      <c r="I131" s="2">
        <v>0.09</v>
      </c>
      <c r="J131" t="s">
        <v>108</v>
      </c>
      <c r="K131" t="s">
        <v>185</v>
      </c>
      <c r="L131" t="s">
        <v>22</v>
      </c>
      <c r="M131" t="s">
        <v>28</v>
      </c>
    </row>
    <row r="132" spans="3:13" ht="14.25" customHeight="1" x14ac:dyDescent="0.3">
      <c r="C132" t="s">
        <v>107</v>
      </c>
      <c r="D132">
        <v>12.35</v>
      </c>
      <c r="E132">
        <v>9.1</v>
      </c>
      <c r="F132">
        <v>0.8</v>
      </c>
      <c r="G132">
        <v>5000</v>
      </c>
      <c r="H132">
        <v>1</v>
      </c>
      <c r="I132" s="2">
        <v>0.14000000000000001</v>
      </c>
      <c r="J132" t="s">
        <v>110</v>
      </c>
      <c r="K132" t="s">
        <v>186</v>
      </c>
      <c r="L132" t="s">
        <v>22</v>
      </c>
      <c r="M132" t="s">
        <v>23</v>
      </c>
    </row>
    <row r="133" spans="3:13" ht="14.25" customHeight="1" x14ac:dyDescent="0.3">
      <c r="C133" t="s">
        <v>107</v>
      </c>
      <c r="D133">
        <v>12.35</v>
      </c>
      <c r="E133">
        <v>9.1</v>
      </c>
      <c r="F133">
        <v>0.8</v>
      </c>
      <c r="G133">
        <v>5000</v>
      </c>
      <c r="H133">
        <v>1</v>
      </c>
      <c r="I133" s="2">
        <v>0.17</v>
      </c>
      <c r="J133" t="s">
        <v>112</v>
      </c>
      <c r="K133" t="s">
        <v>187</v>
      </c>
      <c r="L133" t="s">
        <v>22</v>
      </c>
      <c r="M133" t="s">
        <v>33</v>
      </c>
    </row>
    <row r="134" spans="3:13" ht="14.25" customHeight="1" x14ac:dyDescent="0.3">
      <c r="C134" t="s">
        <v>120</v>
      </c>
      <c r="D134">
        <v>13</v>
      </c>
      <c r="E134">
        <v>3.5</v>
      </c>
      <c r="F134">
        <v>3</v>
      </c>
      <c r="G134">
        <v>2</v>
      </c>
      <c r="H134">
        <v>1</v>
      </c>
      <c r="I134" s="2">
        <v>0.2</v>
      </c>
      <c r="J134" t="s">
        <v>188</v>
      </c>
      <c r="K134" t="s">
        <v>173</v>
      </c>
      <c r="L134" t="s">
        <v>89</v>
      </c>
      <c r="M134" t="s">
        <v>23</v>
      </c>
    </row>
    <row r="135" spans="3:13" ht="14.25" customHeight="1" x14ac:dyDescent="0.3">
      <c r="C135" t="s">
        <v>154</v>
      </c>
      <c r="D135">
        <v>13</v>
      </c>
      <c r="E135">
        <v>7</v>
      </c>
      <c r="F135">
        <v>6</v>
      </c>
      <c r="G135">
        <v>750</v>
      </c>
      <c r="H135">
        <v>1</v>
      </c>
      <c r="I135" s="2">
        <f>0.57+220/G135</f>
        <v>0.86333333333333329</v>
      </c>
      <c r="J135" t="s">
        <v>157</v>
      </c>
      <c r="K135" t="s">
        <v>189</v>
      </c>
      <c r="L135" t="s">
        <v>32</v>
      </c>
      <c r="M135" t="s">
        <v>23</v>
      </c>
    </row>
    <row r="136" spans="3:13" ht="14.25" customHeight="1" x14ac:dyDescent="0.3">
      <c r="C136" t="s">
        <v>154</v>
      </c>
      <c r="D136">
        <v>13</v>
      </c>
      <c r="E136">
        <v>7</v>
      </c>
      <c r="F136">
        <v>6</v>
      </c>
      <c r="G136">
        <v>1500</v>
      </c>
      <c r="H136">
        <v>1</v>
      </c>
      <c r="I136" s="2">
        <v>0.6</v>
      </c>
      <c r="J136" t="s">
        <v>158</v>
      </c>
      <c r="K136" t="s">
        <v>189</v>
      </c>
      <c r="L136" t="s">
        <v>32</v>
      </c>
      <c r="M136" t="s">
        <v>118</v>
      </c>
    </row>
    <row r="137" spans="3:13" ht="14.25" customHeight="1" x14ac:dyDescent="0.3">
      <c r="C137" t="s">
        <v>154</v>
      </c>
      <c r="D137">
        <v>13</v>
      </c>
      <c r="E137">
        <v>7</v>
      </c>
      <c r="F137">
        <v>6</v>
      </c>
      <c r="G137">
        <v>9000</v>
      </c>
      <c r="H137">
        <v>1</v>
      </c>
      <c r="I137" s="2">
        <f>0.185+170/G137</f>
        <v>0.2038888888888889</v>
      </c>
      <c r="J137" t="s">
        <v>190</v>
      </c>
      <c r="K137" t="s">
        <v>189</v>
      </c>
      <c r="L137" t="s">
        <v>32</v>
      </c>
      <c r="M137" t="s">
        <v>23</v>
      </c>
    </row>
    <row r="138" spans="3:13" ht="14.25" customHeight="1" x14ac:dyDescent="0.3">
      <c r="C138" t="s">
        <v>154</v>
      </c>
      <c r="D138">
        <v>13</v>
      </c>
      <c r="E138">
        <v>7</v>
      </c>
      <c r="F138">
        <v>6</v>
      </c>
      <c r="G138">
        <v>9000</v>
      </c>
      <c r="H138">
        <v>1</v>
      </c>
      <c r="I138" s="2">
        <v>0.54</v>
      </c>
      <c r="J138" t="s">
        <v>158</v>
      </c>
      <c r="K138" t="s">
        <v>189</v>
      </c>
      <c r="L138" t="s">
        <v>32</v>
      </c>
      <c r="M138" t="s">
        <v>118</v>
      </c>
    </row>
    <row r="139" spans="3:13" ht="14.25" customHeight="1" x14ac:dyDescent="0.3">
      <c r="C139" t="s">
        <v>120</v>
      </c>
      <c r="D139">
        <v>13</v>
      </c>
      <c r="E139">
        <v>9</v>
      </c>
      <c r="F139">
        <v>1</v>
      </c>
      <c r="G139">
        <v>14</v>
      </c>
      <c r="H139">
        <v>1</v>
      </c>
      <c r="I139" s="2">
        <v>0.13</v>
      </c>
      <c r="J139" t="s">
        <v>174</v>
      </c>
      <c r="K139" t="s">
        <v>173</v>
      </c>
      <c r="L139" t="s">
        <v>89</v>
      </c>
      <c r="M139" t="s">
        <v>23</v>
      </c>
    </row>
    <row r="140" spans="3:13" ht="14.25" customHeight="1" x14ac:dyDescent="0.3">
      <c r="C140" t="s">
        <v>191</v>
      </c>
      <c r="D140">
        <v>13.3</v>
      </c>
      <c r="E140">
        <v>12.2</v>
      </c>
      <c r="F140">
        <v>2</v>
      </c>
      <c r="G140">
        <v>8</v>
      </c>
      <c r="H140">
        <v>1</v>
      </c>
      <c r="I140" s="2">
        <v>0.5</v>
      </c>
      <c r="J140" t="s">
        <v>192</v>
      </c>
      <c r="K140" t="s">
        <v>173</v>
      </c>
      <c r="L140" t="s">
        <v>89</v>
      </c>
      <c r="M140" t="s">
        <v>23</v>
      </c>
    </row>
    <row r="141" spans="3:13" ht="14.25" customHeight="1" x14ac:dyDescent="0.3">
      <c r="C141" t="s">
        <v>193</v>
      </c>
      <c r="D141">
        <v>13.5</v>
      </c>
      <c r="E141">
        <v>13.3</v>
      </c>
      <c r="F141">
        <v>1</v>
      </c>
      <c r="G141">
        <v>750</v>
      </c>
      <c r="H141">
        <v>1</v>
      </c>
      <c r="I141" s="2">
        <v>0.37</v>
      </c>
      <c r="J141" t="s">
        <v>194</v>
      </c>
      <c r="K141" t="s">
        <v>195</v>
      </c>
      <c r="L141" t="s">
        <v>32</v>
      </c>
      <c r="M141" t="s">
        <v>196</v>
      </c>
    </row>
    <row r="142" spans="3:13" ht="14.25" customHeight="1" x14ac:dyDescent="0.3">
      <c r="C142" t="s">
        <v>193</v>
      </c>
      <c r="D142">
        <v>13.5</v>
      </c>
      <c r="E142">
        <v>13.3</v>
      </c>
      <c r="F142">
        <v>2</v>
      </c>
      <c r="G142">
        <v>750</v>
      </c>
      <c r="H142">
        <v>1</v>
      </c>
      <c r="I142" s="2">
        <v>0.18</v>
      </c>
      <c r="J142" t="s">
        <v>197</v>
      </c>
      <c r="K142" t="s">
        <v>198</v>
      </c>
      <c r="L142" t="s">
        <v>32</v>
      </c>
      <c r="M142" t="s">
        <v>23</v>
      </c>
    </row>
    <row r="143" spans="3:13" ht="14.25" customHeight="1" x14ac:dyDescent="0.3">
      <c r="C143" t="s">
        <v>193</v>
      </c>
      <c r="D143">
        <v>13.5</v>
      </c>
      <c r="E143">
        <v>13.3</v>
      </c>
      <c r="F143">
        <v>2</v>
      </c>
      <c r="G143">
        <v>750</v>
      </c>
      <c r="H143">
        <v>1</v>
      </c>
      <c r="I143" s="2">
        <v>0.25</v>
      </c>
      <c r="J143" t="s">
        <v>197</v>
      </c>
      <c r="K143" t="s">
        <v>199</v>
      </c>
      <c r="L143" t="s">
        <v>32</v>
      </c>
      <c r="M143" t="s">
        <v>23</v>
      </c>
    </row>
    <row r="144" spans="3:13" ht="14.25" customHeight="1" x14ac:dyDescent="0.3">
      <c r="C144" t="s">
        <v>193</v>
      </c>
      <c r="D144">
        <v>13.5</v>
      </c>
      <c r="E144">
        <v>13.3</v>
      </c>
      <c r="F144">
        <v>2</v>
      </c>
      <c r="G144">
        <v>750</v>
      </c>
      <c r="H144">
        <v>1</v>
      </c>
      <c r="I144" s="2">
        <v>0.51</v>
      </c>
      <c r="J144" t="s">
        <v>194</v>
      </c>
      <c r="K144" t="s">
        <v>199</v>
      </c>
      <c r="L144" t="s">
        <v>32</v>
      </c>
      <c r="M144" t="s">
        <v>28</v>
      </c>
    </row>
    <row r="145" spans="3:13" ht="14.25" customHeight="1" x14ac:dyDescent="0.3">
      <c r="C145" t="s">
        <v>124</v>
      </c>
      <c r="D145">
        <v>14</v>
      </c>
      <c r="E145">
        <v>14</v>
      </c>
      <c r="F145">
        <v>0.7</v>
      </c>
      <c r="G145">
        <v>90</v>
      </c>
      <c r="H145">
        <v>1</v>
      </c>
      <c r="I145" s="2">
        <v>0.26</v>
      </c>
      <c r="J145" t="s">
        <v>125</v>
      </c>
      <c r="K145" t="s">
        <v>200</v>
      </c>
      <c r="L145" t="s">
        <v>27</v>
      </c>
      <c r="M145" t="s">
        <v>23</v>
      </c>
    </row>
    <row r="146" spans="3:13" ht="14.25" customHeight="1" x14ac:dyDescent="0.3">
      <c r="C146" t="s">
        <v>124</v>
      </c>
      <c r="D146">
        <v>14</v>
      </c>
      <c r="E146">
        <v>14</v>
      </c>
      <c r="F146">
        <v>0.8</v>
      </c>
      <c r="G146">
        <v>140</v>
      </c>
      <c r="H146">
        <v>1</v>
      </c>
      <c r="I146" s="2">
        <v>0.26</v>
      </c>
      <c r="J146" t="s">
        <v>125</v>
      </c>
      <c r="K146" t="s">
        <v>201</v>
      </c>
      <c r="L146" t="s">
        <v>27</v>
      </c>
      <c r="M146" t="s">
        <v>23</v>
      </c>
    </row>
    <row r="147" spans="3:13" ht="14.25" customHeight="1" x14ac:dyDescent="0.3">
      <c r="C147" t="s">
        <v>202</v>
      </c>
      <c r="D147">
        <v>14.5</v>
      </c>
      <c r="E147">
        <v>13</v>
      </c>
      <c r="F147">
        <v>5</v>
      </c>
      <c r="G147">
        <v>3</v>
      </c>
      <c r="H147">
        <v>1</v>
      </c>
      <c r="I147" s="2">
        <v>0.91</v>
      </c>
      <c r="J147" t="s">
        <v>203</v>
      </c>
      <c r="K147" t="s">
        <v>173</v>
      </c>
      <c r="L147" t="s">
        <v>89</v>
      </c>
      <c r="M147" t="s">
        <v>23</v>
      </c>
    </row>
    <row r="148" spans="3:13" ht="14.25" customHeight="1" x14ac:dyDescent="0.3">
      <c r="C148" t="s">
        <v>96</v>
      </c>
      <c r="D148">
        <v>14.7</v>
      </c>
      <c r="E148">
        <v>13</v>
      </c>
      <c r="F148">
        <v>1</v>
      </c>
      <c r="G148">
        <v>8</v>
      </c>
      <c r="H148">
        <v>1</v>
      </c>
      <c r="I148" s="2">
        <v>1.2</v>
      </c>
      <c r="J148" t="s">
        <v>204</v>
      </c>
      <c r="K148" t="s">
        <v>173</v>
      </c>
      <c r="L148" t="s">
        <v>89</v>
      </c>
      <c r="M148" t="s">
        <v>23</v>
      </c>
    </row>
    <row r="149" spans="3:13" ht="14.25" customHeight="1" x14ac:dyDescent="0.3">
      <c r="C149" t="s">
        <v>120</v>
      </c>
      <c r="D149">
        <v>14.8</v>
      </c>
      <c r="E149">
        <v>14</v>
      </c>
      <c r="F149">
        <v>4</v>
      </c>
      <c r="G149">
        <v>1</v>
      </c>
      <c r="H149">
        <v>1</v>
      </c>
      <c r="I149" s="2">
        <v>0.88</v>
      </c>
      <c r="J149" t="s">
        <v>174</v>
      </c>
      <c r="K149" t="s">
        <v>173</v>
      </c>
      <c r="L149" t="s">
        <v>89</v>
      </c>
      <c r="M149" t="s">
        <v>23</v>
      </c>
    </row>
    <row r="150" spans="3:13" ht="14.25" customHeight="1" x14ac:dyDescent="0.3">
      <c r="C150" t="s">
        <v>120</v>
      </c>
      <c r="D150">
        <v>14.8</v>
      </c>
      <c r="E150">
        <v>14</v>
      </c>
      <c r="F150">
        <v>4</v>
      </c>
      <c r="G150">
        <v>4.5</v>
      </c>
      <c r="H150">
        <v>1</v>
      </c>
      <c r="I150" s="2">
        <v>1.1000000000000001</v>
      </c>
      <c r="J150" t="s">
        <v>174</v>
      </c>
      <c r="K150" t="s">
        <v>173</v>
      </c>
      <c r="L150" t="s">
        <v>89</v>
      </c>
      <c r="M150" t="s">
        <v>23</v>
      </c>
    </row>
    <row r="151" spans="3:13" ht="14.25" customHeight="1" x14ac:dyDescent="0.3">
      <c r="C151" t="s">
        <v>205</v>
      </c>
      <c r="D151">
        <v>15</v>
      </c>
      <c r="E151">
        <v>3</v>
      </c>
      <c r="F151">
        <v>1.5</v>
      </c>
      <c r="G151">
        <v>1000</v>
      </c>
      <c r="H151">
        <v>1</v>
      </c>
      <c r="I151" s="2">
        <v>0.21</v>
      </c>
      <c r="J151" t="s">
        <v>206</v>
      </c>
      <c r="K151" t="s">
        <v>177</v>
      </c>
      <c r="L151" t="s">
        <v>27</v>
      </c>
      <c r="M151" t="s">
        <v>28</v>
      </c>
    </row>
    <row r="152" spans="3:13" ht="14.25" customHeight="1" x14ac:dyDescent="0.3">
      <c r="C152" t="s">
        <v>207</v>
      </c>
      <c r="D152">
        <v>15</v>
      </c>
      <c r="E152">
        <v>15</v>
      </c>
      <c r="F152">
        <v>10</v>
      </c>
      <c r="G152">
        <v>1</v>
      </c>
      <c r="H152">
        <v>1</v>
      </c>
      <c r="I152" s="2">
        <v>0.9</v>
      </c>
      <c r="J152" t="s">
        <v>208</v>
      </c>
      <c r="K152" t="s">
        <v>209</v>
      </c>
      <c r="L152" t="s">
        <v>22</v>
      </c>
      <c r="M152" t="s">
        <v>23</v>
      </c>
    </row>
    <row r="153" spans="3:13" ht="14.25" customHeight="1" x14ac:dyDescent="0.3">
      <c r="C153" t="s">
        <v>207</v>
      </c>
      <c r="D153">
        <v>15</v>
      </c>
      <c r="E153">
        <v>15</v>
      </c>
      <c r="F153">
        <v>10</v>
      </c>
      <c r="G153">
        <v>1</v>
      </c>
      <c r="H153">
        <v>1</v>
      </c>
      <c r="I153" s="2">
        <v>1.6539999999999999</v>
      </c>
      <c r="J153" t="s">
        <v>208</v>
      </c>
      <c r="K153" t="s">
        <v>210</v>
      </c>
      <c r="L153" t="s">
        <v>89</v>
      </c>
      <c r="M153" t="s">
        <v>23</v>
      </c>
    </row>
    <row r="154" spans="3:13" ht="14.25" customHeight="1" x14ac:dyDescent="0.3">
      <c r="C154" t="s">
        <v>202</v>
      </c>
      <c r="D154">
        <v>15.5</v>
      </c>
      <c r="E154">
        <v>13</v>
      </c>
      <c r="F154">
        <v>8</v>
      </c>
      <c r="G154">
        <v>3</v>
      </c>
      <c r="H154">
        <v>1</v>
      </c>
      <c r="I154" s="2">
        <v>1.46</v>
      </c>
      <c r="J154" t="s">
        <v>203</v>
      </c>
      <c r="K154" t="s">
        <v>97</v>
      </c>
      <c r="L154" t="s">
        <v>89</v>
      </c>
      <c r="M154" t="s">
        <v>23</v>
      </c>
    </row>
    <row r="155" spans="3:13" ht="14.25" customHeight="1" x14ac:dyDescent="0.3">
      <c r="C155" t="s">
        <v>37</v>
      </c>
      <c r="D155">
        <v>16.2</v>
      </c>
      <c r="E155">
        <v>3.5</v>
      </c>
      <c r="F155">
        <v>6.6</v>
      </c>
      <c r="G155">
        <v>50</v>
      </c>
      <c r="H155">
        <v>1</v>
      </c>
      <c r="I155" s="2">
        <v>2.79</v>
      </c>
      <c r="J155" t="s">
        <v>211</v>
      </c>
      <c r="K155" t="s">
        <v>212</v>
      </c>
      <c r="L155" t="s">
        <v>32</v>
      </c>
      <c r="M155" t="s">
        <v>28</v>
      </c>
    </row>
    <row r="156" spans="3:13" ht="14.25" customHeight="1" x14ac:dyDescent="0.3">
      <c r="C156" t="s">
        <v>37</v>
      </c>
      <c r="D156">
        <v>16.2</v>
      </c>
      <c r="E156">
        <v>3.5</v>
      </c>
      <c r="F156">
        <v>6.6</v>
      </c>
      <c r="G156">
        <v>100</v>
      </c>
      <c r="H156">
        <v>1</v>
      </c>
      <c r="I156" s="2">
        <v>1.77</v>
      </c>
      <c r="J156" t="s">
        <v>211</v>
      </c>
      <c r="K156" t="s">
        <v>212</v>
      </c>
      <c r="L156" t="s">
        <v>32</v>
      </c>
      <c r="M156" t="s">
        <v>28</v>
      </c>
    </row>
    <row r="157" spans="3:13" ht="14.25" customHeight="1" x14ac:dyDescent="0.3">
      <c r="C157" t="s">
        <v>37</v>
      </c>
      <c r="D157">
        <v>16.2</v>
      </c>
      <c r="E157">
        <v>3.5</v>
      </c>
      <c r="F157">
        <v>6.6</v>
      </c>
      <c r="G157">
        <v>200</v>
      </c>
      <c r="H157">
        <v>1</v>
      </c>
      <c r="I157" s="2">
        <v>1.26</v>
      </c>
      <c r="J157" t="s">
        <v>211</v>
      </c>
      <c r="K157" t="s">
        <v>212</v>
      </c>
      <c r="L157" t="s">
        <v>32</v>
      </c>
      <c r="M157" t="s">
        <v>28</v>
      </c>
    </row>
    <row r="158" spans="3:13" ht="14.25" customHeight="1" x14ac:dyDescent="0.3">
      <c r="C158" t="s">
        <v>37</v>
      </c>
      <c r="D158">
        <v>16.2</v>
      </c>
      <c r="E158">
        <v>3.5</v>
      </c>
      <c r="F158">
        <v>6.6</v>
      </c>
      <c r="G158">
        <v>500</v>
      </c>
      <c r="H158">
        <v>1</v>
      </c>
      <c r="I158" s="2">
        <v>0.61</v>
      </c>
      <c r="J158" t="s">
        <v>211</v>
      </c>
      <c r="K158" t="s">
        <v>212</v>
      </c>
      <c r="L158" t="s">
        <v>32</v>
      </c>
      <c r="M158" t="s">
        <v>28</v>
      </c>
    </row>
    <row r="159" spans="3:13" ht="14.25" customHeight="1" x14ac:dyDescent="0.3">
      <c r="C159" t="s">
        <v>154</v>
      </c>
      <c r="D159">
        <v>16.2</v>
      </c>
      <c r="E159">
        <v>13.1</v>
      </c>
      <c r="F159">
        <v>10.5</v>
      </c>
      <c r="G159">
        <v>50</v>
      </c>
      <c r="H159">
        <v>1</v>
      </c>
      <c r="I159" s="2">
        <f>2.68+180/G159</f>
        <v>6.28</v>
      </c>
      <c r="J159" t="s">
        <v>213</v>
      </c>
      <c r="K159" t="s">
        <v>214</v>
      </c>
      <c r="L159" t="s">
        <v>32</v>
      </c>
      <c r="M159" t="s">
        <v>23</v>
      </c>
    </row>
    <row r="160" spans="3:13" ht="14.25" customHeight="1" x14ac:dyDescent="0.3">
      <c r="C160" t="s">
        <v>154</v>
      </c>
      <c r="D160">
        <v>16.2</v>
      </c>
      <c r="E160">
        <v>13.1</v>
      </c>
      <c r="F160">
        <v>10.5</v>
      </c>
      <c r="G160">
        <v>500</v>
      </c>
      <c r="H160">
        <v>1</v>
      </c>
      <c r="I160" s="2">
        <f>2.1+180/G160</f>
        <v>2.46</v>
      </c>
      <c r="J160" t="s">
        <v>213</v>
      </c>
      <c r="K160" t="s">
        <v>214</v>
      </c>
      <c r="L160" t="s">
        <v>32</v>
      </c>
      <c r="M160" t="s">
        <v>23</v>
      </c>
    </row>
    <row r="161" spans="3:13" ht="14.25" customHeight="1" x14ac:dyDescent="0.3">
      <c r="C161" t="s">
        <v>154</v>
      </c>
      <c r="D161">
        <v>16.2</v>
      </c>
      <c r="E161">
        <v>13.1</v>
      </c>
      <c r="F161">
        <v>10.5</v>
      </c>
      <c r="G161">
        <v>1000</v>
      </c>
      <c r="H161">
        <v>1</v>
      </c>
      <c r="I161" s="2">
        <f>1.92+180/G161</f>
        <v>2.1</v>
      </c>
      <c r="J161" t="s">
        <v>213</v>
      </c>
      <c r="K161" t="s">
        <v>214</v>
      </c>
      <c r="L161" t="s">
        <v>32</v>
      </c>
      <c r="M161" t="s">
        <v>23</v>
      </c>
    </row>
    <row r="162" spans="3:13" ht="14.25" customHeight="1" x14ac:dyDescent="0.3">
      <c r="C162" t="s">
        <v>154</v>
      </c>
      <c r="D162">
        <v>16.2</v>
      </c>
      <c r="E162">
        <v>13.1</v>
      </c>
      <c r="F162">
        <v>10.5</v>
      </c>
      <c r="G162">
        <v>2000</v>
      </c>
      <c r="H162">
        <v>1</v>
      </c>
      <c r="I162" s="2">
        <f>2.45+480/G162</f>
        <v>2.6900000000000004</v>
      </c>
      <c r="J162" t="s">
        <v>213</v>
      </c>
      <c r="K162" t="s">
        <v>215</v>
      </c>
      <c r="L162" t="s">
        <v>32</v>
      </c>
      <c r="M162" t="s">
        <v>33</v>
      </c>
    </row>
    <row r="163" spans="3:13" ht="14.25" customHeight="1" x14ac:dyDescent="0.3">
      <c r="C163" t="s">
        <v>147</v>
      </c>
      <c r="D163">
        <v>17</v>
      </c>
      <c r="E163">
        <v>4.5</v>
      </c>
      <c r="F163">
        <v>4.5</v>
      </c>
      <c r="G163">
        <v>300</v>
      </c>
      <c r="H163">
        <v>1</v>
      </c>
      <c r="I163" s="2">
        <v>0.96</v>
      </c>
      <c r="J163" t="s">
        <v>216</v>
      </c>
      <c r="K163" t="s">
        <v>217</v>
      </c>
      <c r="L163" t="s">
        <v>40</v>
      </c>
      <c r="M163" t="s">
        <v>28</v>
      </c>
    </row>
    <row r="164" spans="3:13" ht="14.25" customHeight="1" x14ac:dyDescent="0.3">
      <c r="C164" t="s">
        <v>147</v>
      </c>
      <c r="D164">
        <v>17</v>
      </c>
      <c r="E164">
        <v>4.5</v>
      </c>
      <c r="F164">
        <v>4.5</v>
      </c>
      <c r="G164">
        <v>500</v>
      </c>
      <c r="H164">
        <v>1</v>
      </c>
      <c r="I164" s="2">
        <v>0.57999999999999996</v>
      </c>
      <c r="J164" t="s">
        <v>216</v>
      </c>
      <c r="K164" t="s">
        <v>217</v>
      </c>
      <c r="L164" t="s">
        <v>40</v>
      </c>
      <c r="M164" t="s">
        <v>28</v>
      </c>
    </row>
    <row r="165" spans="3:13" ht="14.25" customHeight="1" x14ac:dyDescent="0.3">
      <c r="C165" t="s">
        <v>202</v>
      </c>
      <c r="D165">
        <v>17</v>
      </c>
      <c r="E165">
        <v>6</v>
      </c>
      <c r="F165">
        <v>1</v>
      </c>
      <c r="G165">
        <v>6</v>
      </c>
      <c r="H165">
        <v>1</v>
      </c>
      <c r="I165" s="2">
        <v>0.15</v>
      </c>
      <c r="J165" t="s">
        <v>203</v>
      </c>
      <c r="K165" t="s">
        <v>173</v>
      </c>
      <c r="L165" t="s">
        <v>89</v>
      </c>
      <c r="M165" t="s">
        <v>23</v>
      </c>
    </row>
    <row r="166" spans="3:13" ht="14.25" customHeight="1" x14ac:dyDescent="0.3">
      <c r="C166" t="s">
        <v>218</v>
      </c>
      <c r="D166">
        <v>17.04</v>
      </c>
      <c r="E166">
        <v>8.76</v>
      </c>
      <c r="F166">
        <v>0.4</v>
      </c>
      <c r="G166">
        <v>80000</v>
      </c>
      <c r="H166">
        <v>1</v>
      </c>
      <c r="I166" s="2">
        <f>0.196+480/G166</f>
        <v>0.20200000000000001</v>
      </c>
      <c r="J166" t="s">
        <v>219</v>
      </c>
      <c r="K166" t="s">
        <v>220</v>
      </c>
      <c r="L166" t="s">
        <v>89</v>
      </c>
      <c r="M166" t="s">
        <v>33</v>
      </c>
    </row>
    <row r="167" spans="3:13" ht="14.25" customHeight="1" x14ac:dyDescent="0.3">
      <c r="C167" t="s">
        <v>218</v>
      </c>
      <c r="D167">
        <v>17.04</v>
      </c>
      <c r="E167">
        <v>8.76</v>
      </c>
      <c r="F167">
        <v>0.4</v>
      </c>
      <c r="G167">
        <v>80000</v>
      </c>
      <c r="H167">
        <v>1</v>
      </c>
      <c r="I167" s="2">
        <f>0.24+480/G167</f>
        <v>0.246</v>
      </c>
      <c r="J167" t="s">
        <v>221</v>
      </c>
      <c r="K167" t="s">
        <v>222</v>
      </c>
      <c r="L167" t="s">
        <v>89</v>
      </c>
      <c r="M167" t="s">
        <v>33</v>
      </c>
    </row>
    <row r="168" spans="3:13" ht="14.25" customHeight="1" x14ac:dyDescent="0.3">
      <c r="C168" t="s">
        <v>218</v>
      </c>
      <c r="D168">
        <v>17.04</v>
      </c>
      <c r="E168">
        <v>8.76</v>
      </c>
      <c r="F168">
        <v>0.4</v>
      </c>
      <c r="G168">
        <v>80000</v>
      </c>
      <c r="H168">
        <v>1</v>
      </c>
      <c r="I168" s="2">
        <f>0.29+480/G168</f>
        <v>0.29599999999999999</v>
      </c>
      <c r="J168" t="s">
        <v>221</v>
      </c>
      <c r="K168" t="s">
        <v>223</v>
      </c>
      <c r="L168" t="s">
        <v>89</v>
      </c>
      <c r="M168" t="s">
        <v>33</v>
      </c>
    </row>
    <row r="169" spans="3:13" ht="14.25" customHeight="1" x14ac:dyDescent="0.3">
      <c r="C169" t="s">
        <v>218</v>
      </c>
      <c r="D169">
        <v>17.04</v>
      </c>
      <c r="E169">
        <v>8.76</v>
      </c>
      <c r="F169">
        <v>0.6</v>
      </c>
      <c r="G169">
        <v>4000</v>
      </c>
      <c r="H169">
        <v>1</v>
      </c>
      <c r="I169" s="2">
        <f>0.195+480/G169</f>
        <v>0.315</v>
      </c>
      <c r="J169" t="s">
        <v>224</v>
      </c>
      <c r="K169" t="s">
        <v>225</v>
      </c>
      <c r="L169" t="s">
        <v>89</v>
      </c>
      <c r="M169" t="s">
        <v>33</v>
      </c>
    </row>
    <row r="170" spans="3:13" ht="14.25" customHeight="1" x14ac:dyDescent="0.3">
      <c r="C170" t="s">
        <v>191</v>
      </c>
      <c r="D170">
        <v>17.600000000000001</v>
      </c>
      <c r="E170">
        <v>11.1</v>
      </c>
      <c r="F170">
        <v>1</v>
      </c>
      <c r="G170">
        <v>24</v>
      </c>
      <c r="H170">
        <v>1</v>
      </c>
      <c r="I170" s="2">
        <v>0.3</v>
      </c>
      <c r="J170" t="s">
        <v>192</v>
      </c>
      <c r="K170" t="s">
        <v>173</v>
      </c>
      <c r="L170" t="s">
        <v>89</v>
      </c>
      <c r="M170" t="s">
        <v>23</v>
      </c>
    </row>
    <row r="171" spans="3:13" ht="14.25" customHeight="1" x14ac:dyDescent="0.3">
      <c r="C171" t="s">
        <v>37</v>
      </c>
      <c r="D171">
        <v>18</v>
      </c>
      <c r="E171">
        <v>1.8</v>
      </c>
      <c r="F171">
        <v>1.8</v>
      </c>
      <c r="G171">
        <v>1000</v>
      </c>
      <c r="H171">
        <v>1</v>
      </c>
      <c r="I171" s="2">
        <v>0.24</v>
      </c>
      <c r="J171" t="s">
        <v>226</v>
      </c>
      <c r="K171" t="s">
        <v>227</v>
      </c>
      <c r="L171" t="s">
        <v>32</v>
      </c>
      <c r="M171" t="s">
        <v>28</v>
      </c>
    </row>
    <row r="172" spans="3:13" ht="14.25" customHeight="1" x14ac:dyDescent="0.3">
      <c r="C172" t="s">
        <v>37</v>
      </c>
      <c r="D172">
        <v>18</v>
      </c>
      <c r="E172">
        <v>1.8</v>
      </c>
      <c r="F172">
        <v>1.8</v>
      </c>
      <c r="G172">
        <v>1000</v>
      </c>
      <c r="H172">
        <v>1</v>
      </c>
      <c r="I172" s="2">
        <v>0.33</v>
      </c>
      <c r="J172" t="s">
        <v>226</v>
      </c>
      <c r="K172" t="s">
        <v>228</v>
      </c>
      <c r="L172" t="s">
        <v>22</v>
      </c>
      <c r="M172" t="s">
        <v>28</v>
      </c>
    </row>
    <row r="173" spans="3:13" ht="14.25" customHeight="1" x14ac:dyDescent="0.3">
      <c r="C173" t="s">
        <v>37</v>
      </c>
      <c r="D173">
        <v>18</v>
      </c>
      <c r="E173">
        <v>1.8</v>
      </c>
      <c r="F173">
        <v>1.8</v>
      </c>
      <c r="G173">
        <v>1000</v>
      </c>
      <c r="H173">
        <v>1</v>
      </c>
      <c r="I173" s="2">
        <v>0.87</v>
      </c>
      <c r="J173" t="s">
        <v>229</v>
      </c>
      <c r="K173" t="s">
        <v>230</v>
      </c>
      <c r="L173" t="s">
        <v>89</v>
      </c>
      <c r="M173" t="s">
        <v>33</v>
      </c>
    </row>
    <row r="174" spans="3:13" ht="14.25" customHeight="1" x14ac:dyDescent="0.3">
      <c r="C174" t="s">
        <v>124</v>
      </c>
      <c r="D174">
        <v>18</v>
      </c>
      <c r="E174">
        <v>8.5</v>
      </c>
      <c r="F174">
        <v>2</v>
      </c>
      <c r="G174">
        <v>8</v>
      </c>
      <c r="H174">
        <v>1</v>
      </c>
      <c r="I174" s="2">
        <v>0.57999999999999996</v>
      </c>
      <c r="J174" t="s">
        <v>125</v>
      </c>
      <c r="K174" t="s">
        <v>126</v>
      </c>
      <c r="L174" t="s">
        <v>127</v>
      </c>
      <c r="M174" t="s">
        <v>23</v>
      </c>
    </row>
    <row r="175" spans="3:13" ht="14.25" customHeight="1" x14ac:dyDescent="0.3">
      <c r="C175" t="s">
        <v>147</v>
      </c>
      <c r="D175">
        <v>18</v>
      </c>
      <c r="E175">
        <v>9</v>
      </c>
      <c r="F175">
        <v>2.5</v>
      </c>
      <c r="G175">
        <v>270</v>
      </c>
      <c r="H175">
        <v>1</v>
      </c>
      <c r="I175" s="2">
        <f>1.25</f>
        <v>1.25</v>
      </c>
      <c r="J175" t="s">
        <v>231</v>
      </c>
      <c r="K175" t="s">
        <v>152</v>
      </c>
      <c r="L175" t="s">
        <v>89</v>
      </c>
      <c r="M175" t="s">
        <v>33</v>
      </c>
    </row>
    <row r="176" spans="3:13" ht="14.25" customHeight="1" x14ac:dyDescent="0.3">
      <c r="C176" t="s">
        <v>147</v>
      </c>
      <c r="D176">
        <v>18</v>
      </c>
      <c r="E176">
        <v>9</v>
      </c>
      <c r="F176">
        <v>2.5</v>
      </c>
      <c r="G176">
        <v>1000</v>
      </c>
      <c r="H176">
        <v>1</v>
      </c>
      <c r="I176" s="2">
        <f>1.19+120/G176</f>
        <v>1.31</v>
      </c>
      <c r="J176" t="s">
        <v>153</v>
      </c>
      <c r="K176" t="s">
        <v>152</v>
      </c>
      <c r="L176" t="s">
        <v>89</v>
      </c>
      <c r="M176" t="s">
        <v>33</v>
      </c>
    </row>
    <row r="177" spans="2:13" ht="14.25" customHeight="1" x14ac:dyDescent="0.3">
      <c r="C177" t="s">
        <v>232</v>
      </c>
      <c r="D177">
        <v>18</v>
      </c>
      <c r="E177">
        <v>18</v>
      </c>
      <c r="F177">
        <v>2</v>
      </c>
      <c r="G177">
        <v>300</v>
      </c>
      <c r="H177">
        <v>1</v>
      </c>
      <c r="I177" s="2">
        <v>0.28199999999999997</v>
      </c>
      <c r="J177" t="s">
        <v>233</v>
      </c>
      <c r="K177" t="s">
        <v>234</v>
      </c>
      <c r="L177" t="s">
        <v>22</v>
      </c>
      <c r="M177" t="s">
        <v>23</v>
      </c>
    </row>
    <row r="178" spans="2:13" ht="14.25" customHeight="1" x14ac:dyDescent="0.3">
      <c r="C178" t="s">
        <v>235</v>
      </c>
      <c r="D178">
        <v>19.2</v>
      </c>
      <c r="E178">
        <v>16.8</v>
      </c>
      <c r="F178">
        <v>1</v>
      </c>
      <c r="G178">
        <v>24</v>
      </c>
      <c r="H178">
        <v>1</v>
      </c>
      <c r="I178" s="2">
        <v>0.59</v>
      </c>
      <c r="J178" t="s">
        <v>236</v>
      </c>
      <c r="K178" t="s">
        <v>237</v>
      </c>
      <c r="L178" t="s">
        <v>89</v>
      </c>
      <c r="M178" t="s">
        <v>23</v>
      </c>
    </row>
    <row r="179" spans="2:13" ht="14.25" customHeight="1" x14ac:dyDescent="0.3">
      <c r="C179" t="s">
        <v>42</v>
      </c>
      <c r="D179">
        <v>19.5</v>
      </c>
      <c r="E179">
        <v>2</v>
      </c>
      <c r="F179">
        <v>1.8</v>
      </c>
      <c r="G179">
        <v>5000</v>
      </c>
      <c r="H179">
        <v>1</v>
      </c>
      <c r="I179" s="2">
        <f>0.24+(160/G179)</f>
        <v>0.27200000000000002</v>
      </c>
      <c r="J179" t="s">
        <v>238</v>
      </c>
      <c r="K179" t="s">
        <v>239</v>
      </c>
      <c r="L179" t="s">
        <v>89</v>
      </c>
      <c r="M179" t="s">
        <v>23</v>
      </c>
    </row>
    <row r="180" spans="2:13" ht="14.25" customHeight="1" x14ac:dyDescent="0.3">
      <c r="C180" t="s">
        <v>120</v>
      </c>
      <c r="D180">
        <v>19.5</v>
      </c>
      <c r="E180">
        <v>16.5</v>
      </c>
      <c r="F180">
        <v>2</v>
      </c>
      <c r="G180">
        <v>1</v>
      </c>
      <c r="H180">
        <v>1</v>
      </c>
      <c r="I180" s="2">
        <v>0.7</v>
      </c>
      <c r="J180" t="s">
        <v>240</v>
      </c>
      <c r="K180" t="s">
        <v>173</v>
      </c>
      <c r="L180" t="s">
        <v>89</v>
      </c>
      <c r="M180" t="s">
        <v>23</v>
      </c>
    </row>
    <row r="181" spans="2:13" ht="14.25" customHeight="1" x14ac:dyDescent="0.3">
      <c r="C181" t="s">
        <v>241</v>
      </c>
      <c r="D181">
        <v>20.100000000000001</v>
      </c>
      <c r="E181">
        <v>3.6</v>
      </c>
      <c r="F181">
        <v>1</v>
      </c>
      <c r="G181">
        <v>8</v>
      </c>
      <c r="H181">
        <v>1</v>
      </c>
      <c r="I181" s="2">
        <v>0.15</v>
      </c>
      <c r="J181" t="s">
        <v>192</v>
      </c>
      <c r="K181" t="s">
        <v>173</v>
      </c>
      <c r="L181" t="s">
        <v>89</v>
      </c>
      <c r="M181" t="s">
        <v>23</v>
      </c>
    </row>
    <row r="182" spans="2:13" ht="14.25" customHeight="1" x14ac:dyDescent="0.3">
      <c r="C182" t="s">
        <v>120</v>
      </c>
      <c r="D182">
        <v>20.5</v>
      </c>
      <c r="E182">
        <v>3.5</v>
      </c>
      <c r="F182">
        <v>1</v>
      </c>
      <c r="G182">
        <v>2</v>
      </c>
      <c r="H182">
        <v>1</v>
      </c>
      <c r="I182" s="2">
        <v>0.1</v>
      </c>
      <c r="J182" t="s">
        <v>240</v>
      </c>
      <c r="K182" t="s">
        <v>173</v>
      </c>
      <c r="L182" t="s">
        <v>89</v>
      </c>
      <c r="M182" t="s">
        <v>23</v>
      </c>
    </row>
    <row r="183" spans="2:13" ht="14.25" customHeight="1" x14ac:dyDescent="0.3">
      <c r="C183" t="s">
        <v>120</v>
      </c>
      <c r="D183">
        <v>20</v>
      </c>
      <c r="E183">
        <v>9</v>
      </c>
      <c r="F183">
        <v>1</v>
      </c>
      <c r="G183">
        <v>6</v>
      </c>
      <c r="H183">
        <v>1</v>
      </c>
      <c r="I183" s="2">
        <v>0.16</v>
      </c>
      <c r="J183" t="s">
        <v>174</v>
      </c>
      <c r="K183" t="s">
        <v>173</v>
      </c>
      <c r="L183" t="s">
        <v>89</v>
      </c>
      <c r="M183" t="s">
        <v>23</v>
      </c>
    </row>
    <row r="184" spans="2:13" ht="14.25" customHeight="1" x14ac:dyDescent="0.3">
      <c r="C184" t="s">
        <v>120</v>
      </c>
      <c r="D184">
        <v>20</v>
      </c>
      <c r="E184">
        <v>9</v>
      </c>
      <c r="F184">
        <v>2.5</v>
      </c>
      <c r="G184">
        <v>6</v>
      </c>
      <c r="H184">
        <v>1</v>
      </c>
      <c r="I184" s="2">
        <v>0.4</v>
      </c>
      <c r="J184" t="s">
        <v>174</v>
      </c>
      <c r="K184" t="s">
        <v>173</v>
      </c>
      <c r="L184" t="s">
        <v>89</v>
      </c>
      <c r="M184" t="s">
        <v>23</v>
      </c>
    </row>
    <row r="185" spans="2:13" ht="14.25" customHeight="1" x14ac:dyDescent="0.3">
      <c r="C185" t="s">
        <v>242</v>
      </c>
      <c r="D185">
        <v>20</v>
      </c>
      <c r="E185">
        <v>10</v>
      </c>
      <c r="F185">
        <v>10</v>
      </c>
      <c r="G185">
        <v>3</v>
      </c>
      <c r="H185">
        <v>1</v>
      </c>
      <c r="I185" s="2">
        <v>3.3</v>
      </c>
      <c r="J185" t="s">
        <v>243</v>
      </c>
      <c r="K185" t="s">
        <v>244</v>
      </c>
      <c r="L185" t="s">
        <v>245</v>
      </c>
      <c r="M185" t="s">
        <v>23</v>
      </c>
    </row>
    <row r="186" spans="2:13" ht="14.25" customHeight="1" x14ac:dyDescent="0.3">
      <c r="C186" t="s">
        <v>242</v>
      </c>
      <c r="D186">
        <v>20</v>
      </c>
      <c r="E186">
        <v>10</v>
      </c>
      <c r="F186">
        <v>10</v>
      </c>
      <c r="G186">
        <v>60</v>
      </c>
      <c r="H186">
        <v>1</v>
      </c>
      <c r="I186" s="2">
        <v>1.2</v>
      </c>
      <c r="J186" t="s">
        <v>243</v>
      </c>
      <c r="K186" t="s">
        <v>244</v>
      </c>
      <c r="L186" t="s">
        <v>22</v>
      </c>
      <c r="M186" t="s">
        <v>23</v>
      </c>
    </row>
    <row r="187" spans="2:13" ht="14.25" customHeight="1" x14ac:dyDescent="0.3">
      <c r="B187" s="3"/>
      <c r="C187" t="s">
        <v>242</v>
      </c>
      <c r="D187">
        <v>20</v>
      </c>
      <c r="E187">
        <v>10</v>
      </c>
      <c r="F187">
        <v>10</v>
      </c>
      <c r="G187">
        <v>60</v>
      </c>
      <c r="H187">
        <v>1</v>
      </c>
      <c r="I187" s="2">
        <v>2.1</v>
      </c>
      <c r="J187" t="s">
        <v>246</v>
      </c>
      <c r="K187" t="s">
        <v>247</v>
      </c>
      <c r="L187" t="s">
        <v>22</v>
      </c>
      <c r="M187" t="s">
        <v>76</v>
      </c>
    </row>
    <row r="188" spans="2:13" ht="14.25" customHeight="1" x14ac:dyDescent="0.3">
      <c r="B188" s="3"/>
      <c r="C188" t="s">
        <v>207</v>
      </c>
      <c r="D188">
        <v>20</v>
      </c>
      <c r="E188">
        <v>12</v>
      </c>
      <c r="F188">
        <v>2.5</v>
      </c>
      <c r="G188">
        <v>1</v>
      </c>
      <c r="H188">
        <v>1</v>
      </c>
      <c r="I188" s="2">
        <v>0.24</v>
      </c>
      <c r="J188" t="s">
        <v>208</v>
      </c>
      <c r="K188" t="s">
        <v>209</v>
      </c>
      <c r="L188" t="s">
        <v>22</v>
      </c>
      <c r="M188" t="s">
        <v>23</v>
      </c>
    </row>
    <row r="189" spans="2:13" ht="14.25" customHeight="1" x14ac:dyDescent="0.3">
      <c r="B189" s="3"/>
      <c r="C189" t="s">
        <v>207</v>
      </c>
      <c r="D189">
        <v>20</v>
      </c>
      <c r="E189">
        <v>12</v>
      </c>
      <c r="F189">
        <v>2.5</v>
      </c>
      <c r="G189">
        <v>1</v>
      </c>
      <c r="H189">
        <v>1</v>
      </c>
      <c r="I189" s="2">
        <v>0.442</v>
      </c>
      <c r="J189" t="s">
        <v>208</v>
      </c>
      <c r="K189" t="s">
        <v>210</v>
      </c>
      <c r="L189" t="s">
        <v>89</v>
      </c>
      <c r="M189" t="s">
        <v>23</v>
      </c>
    </row>
    <row r="190" spans="2:13" ht="14.25" customHeight="1" x14ac:dyDescent="0.3">
      <c r="B190" s="3"/>
      <c r="C190" t="s">
        <v>120</v>
      </c>
      <c r="D190">
        <v>20</v>
      </c>
      <c r="E190">
        <v>14</v>
      </c>
      <c r="F190">
        <v>1</v>
      </c>
      <c r="G190">
        <v>1</v>
      </c>
      <c r="H190">
        <v>1</v>
      </c>
      <c r="I190" s="2">
        <v>0.32</v>
      </c>
      <c r="J190" t="s">
        <v>174</v>
      </c>
      <c r="K190" t="s">
        <v>173</v>
      </c>
      <c r="L190" t="s">
        <v>89</v>
      </c>
      <c r="M190" t="s">
        <v>23</v>
      </c>
    </row>
    <row r="191" spans="2:13" ht="14.25" customHeight="1" x14ac:dyDescent="0.3">
      <c r="B191" s="3"/>
      <c r="C191" t="s">
        <v>120</v>
      </c>
      <c r="D191">
        <v>20</v>
      </c>
      <c r="E191">
        <v>14</v>
      </c>
      <c r="F191">
        <v>4</v>
      </c>
      <c r="G191">
        <v>1</v>
      </c>
      <c r="H191">
        <v>1</v>
      </c>
      <c r="I191" s="2">
        <v>1.28</v>
      </c>
      <c r="J191" t="s">
        <v>174</v>
      </c>
      <c r="K191" t="s">
        <v>173</v>
      </c>
      <c r="L191" t="s">
        <v>89</v>
      </c>
      <c r="M191" t="s">
        <v>23</v>
      </c>
    </row>
    <row r="192" spans="2:13" ht="14.25" customHeight="1" x14ac:dyDescent="0.3">
      <c r="B192" s="3"/>
      <c r="C192" t="s">
        <v>120</v>
      </c>
      <c r="D192">
        <v>20</v>
      </c>
      <c r="E192">
        <v>14</v>
      </c>
      <c r="F192">
        <v>4.8</v>
      </c>
      <c r="G192">
        <v>2</v>
      </c>
      <c r="H192">
        <v>1</v>
      </c>
      <c r="I192" s="2">
        <v>1.6</v>
      </c>
      <c r="J192" t="s">
        <v>174</v>
      </c>
      <c r="K192" t="s">
        <v>173</v>
      </c>
      <c r="L192" t="s">
        <v>89</v>
      </c>
      <c r="M192" t="s">
        <v>23</v>
      </c>
    </row>
    <row r="193" spans="2:13" ht="14.25" customHeight="1" x14ac:dyDescent="0.3">
      <c r="B193" s="3"/>
      <c r="C193" t="s">
        <v>175</v>
      </c>
      <c r="D193">
        <v>10</v>
      </c>
      <c r="E193">
        <v>15</v>
      </c>
      <c r="F193">
        <v>6.1</v>
      </c>
      <c r="G193">
        <v>1</v>
      </c>
      <c r="H193">
        <v>1</v>
      </c>
      <c r="I193" s="2">
        <f>250/6</f>
        <v>41.666666666666664</v>
      </c>
      <c r="J193" t="s">
        <v>176</v>
      </c>
      <c r="K193" t="s">
        <v>177</v>
      </c>
      <c r="L193" t="s">
        <v>89</v>
      </c>
      <c r="M193" t="s">
        <v>28</v>
      </c>
    </row>
    <row r="194" spans="2:13" ht="14.25" customHeight="1" x14ac:dyDescent="0.3">
      <c r="B194" s="3"/>
      <c r="C194" t="s">
        <v>248</v>
      </c>
      <c r="D194">
        <v>20</v>
      </c>
      <c r="E194">
        <v>19</v>
      </c>
      <c r="F194">
        <v>2</v>
      </c>
      <c r="G194">
        <v>25</v>
      </c>
      <c r="H194">
        <v>1</v>
      </c>
      <c r="I194" s="2">
        <v>15.29</v>
      </c>
      <c r="J194" t="s">
        <v>249</v>
      </c>
      <c r="K194" t="s">
        <v>250</v>
      </c>
      <c r="L194" t="s">
        <v>40</v>
      </c>
      <c r="M194" t="s">
        <v>33</v>
      </c>
    </row>
    <row r="195" spans="2:13" ht="14.25" customHeight="1" x14ac:dyDescent="0.3">
      <c r="B195" s="3"/>
      <c r="C195" t="s">
        <v>248</v>
      </c>
      <c r="D195">
        <v>20</v>
      </c>
      <c r="E195">
        <v>19</v>
      </c>
      <c r="F195">
        <v>2</v>
      </c>
      <c r="G195">
        <v>50</v>
      </c>
      <c r="H195">
        <v>1</v>
      </c>
      <c r="I195" s="2">
        <v>1.85</v>
      </c>
      <c r="J195" t="s">
        <v>249</v>
      </c>
      <c r="K195" t="s">
        <v>251</v>
      </c>
      <c r="L195" t="s">
        <v>32</v>
      </c>
      <c r="M195" t="s">
        <v>23</v>
      </c>
    </row>
    <row r="196" spans="2:13" ht="14.25" customHeight="1" x14ac:dyDescent="0.3">
      <c r="B196" s="3"/>
      <c r="C196" t="s">
        <v>248</v>
      </c>
      <c r="D196">
        <v>20</v>
      </c>
      <c r="E196">
        <v>19</v>
      </c>
      <c r="F196">
        <v>2</v>
      </c>
      <c r="G196">
        <v>50</v>
      </c>
      <c r="H196">
        <v>1</v>
      </c>
      <c r="I196" s="2">
        <v>7.68</v>
      </c>
      <c r="J196" t="s">
        <v>249</v>
      </c>
      <c r="K196" t="s">
        <v>250</v>
      </c>
      <c r="L196" t="s">
        <v>40</v>
      </c>
      <c r="M196" t="s">
        <v>33</v>
      </c>
    </row>
    <row r="197" spans="2:13" ht="14.25" customHeight="1" x14ac:dyDescent="0.3">
      <c r="B197" s="3"/>
      <c r="C197" t="s">
        <v>248</v>
      </c>
      <c r="D197">
        <v>20</v>
      </c>
      <c r="E197">
        <v>19</v>
      </c>
      <c r="F197">
        <v>2</v>
      </c>
      <c r="G197">
        <v>100</v>
      </c>
      <c r="H197">
        <v>1</v>
      </c>
      <c r="I197" s="2">
        <v>1.64</v>
      </c>
      <c r="J197" t="s">
        <v>249</v>
      </c>
      <c r="K197" t="s">
        <v>251</v>
      </c>
      <c r="L197" t="s">
        <v>32</v>
      </c>
      <c r="M197" t="s">
        <v>23</v>
      </c>
    </row>
    <row r="198" spans="2:13" ht="14.25" customHeight="1" x14ac:dyDescent="0.3">
      <c r="B198" s="3"/>
      <c r="C198" t="s">
        <v>248</v>
      </c>
      <c r="D198">
        <v>20</v>
      </c>
      <c r="E198">
        <v>19</v>
      </c>
      <c r="F198">
        <v>2</v>
      </c>
      <c r="G198">
        <v>100</v>
      </c>
      <c r="H198">
        <v>1</v>
      </c>
      <c r="I198" s="2">
        <v>4.08</v>
      </c>
      <c r="J198" t="s">
        <v>249</v>
      </c>
      <c r="K198" t="s">
        <v>250</v>
      </c>
      <c r="L198" t="s">
        <v>40</v>
      </c>
      <c r="M198" t="s">
        <v>33</v>
      </c>
    </row>
    <row r="199" spans="2:13" ht="14.25" customHeight="1" x14ac:dyDescent="0.3">
      <c r="B199" s="3"/>
      <c r="C199" t="s">
        <v>202</v>
      </c>
      <c r="D199">
        <v>20</v>
      </c>
      <c r="E199">
        <v>19</v>
      </c>
      <c r="F199">
        <v>5</v>
      </c>
      <c r="G199">
        <v>1</v>
      </c>
      <c r="H199">
        <v>1</v>
      </c>
      <c r="I199" s="2">
        <v>2</v>
      </c>
      <c r="J199" t="s">
        <v>252</v>
      </c>
      <c r="K199" t="s">
        <v>173</v>
      </c>
      <c r="L199" t="s">
        <v>89</v>
      </c>
      <c r="M199" t="s">
        <v>23</v>
      </c>
    </row>
    <row r="200" spans="2:13" ht="14.25" customHeight="1" x14ac:dyDescent="0.3">
      <c r="B200" s="3"/>
      <c r="C200" t="s">
        <v>207</v>
      </c>
      <c r="D200">
        <v>20</v>
      </c>
      <c r="E200">
        <v>20</v>
      </c>
      <c r="F200">
        <v>2.5</v>
      </c>
      <c r="G200">
        <v>1</v>
      </c>
      <c r="H200">
        <v>1</v>
      </c>
      <c r="I200" s="2">
        <v>0.4</v>
      </c>
      <c r="J200" t="s">
        <v>208</v>
      </c>
      <c r="K200" t="s">
        <v>209</v>
      </c>
      <c r="L200" t="s">
        <v>22</v>
      </c>
      <c r="M200" t="s">
        <v>23</v>
      </c>
    </row>
    <row r="201" spans="2:13" ht="14.25" customHeight="1" x14ac:dyDescent="0.3">
      <c r="B201" s="3"/>
      <c r="C201" t="s">
        <v>207</v>
      </c>
      <c r="D201">
        <v>20</v>
      </c>
      <c r="E201">
        <v>20</v>
      </c>
      <c r="F201">
        <v>2.5</v>
      </c>
      <c r="G201">
        <v>1</v>
      </c>
      <c r="H201">
        <v>1</v>
      </c>
      <c r="I201" s="2">
        <v>0.73499999999999999</v>
      </c>
      <c r="J201" t="s">
        <v>208</v>
      </c>
      <c r="K201" t="s">
        <v>210</v>
      </c>
      <c r="L201" t="s">
        <v>89</v>
      </c>
      <c r="M201" t="s">
        <v>23</v>
      </c>
    </row>
    <row r="202" spans="2:13" ht="14.25" customHeight="1" x14ac:dyDescent="0.3">
      <c r="B202" s="3"/>
      <c r="C202" t="s">
        <v>207</v>
      </c>
      <c r="D202">
        <v>20</v>
      </c>
      <c r="E202">
        <v>20</v>
      </c>
      <c r="F202">
        <v>10</v>
      </c>
      <c r="G202">
        <v>1</v>
      </c>
      <c r="H202">
        <v>1</v>
      </c>
      <c r="I202" s="2">
        <v>1.6</v>
      </c>
      <c r="J202" t="s">
        <v>208</v>
      </c>
      <c r="K202" t="s">
        <v>209</v>
      </c>
      <c r="L202" t="s">
        <v>22</v>
      </c>
      <c r="M202" t="s">
        <v>23</v>
      </c>
    </row>
    <row r="203" spans="2:13" ht="14.25" customHeight="1" x14ac:dyDescent="0.3">
      <c r="B203" s="3"/>
      <c r="C203" t="s">
        <v>207</v>
      </c>
      <c r="D203">
        <v>20</v>
      </c>
      <c r="E203">
        <v>20</v>
      </c>
      <c r="F203">
        <v>10</v>
      </c>
      <c r="G203">
        <v>1</v>
      </c>
      <c r="H203">
        <v>1</v>
      </c>
      <c r="I203" s="2">
        <v>2.94</v>
      </c>
      <c r="J203" t="s">
        <v>208</v>
      </c>
      <c r="K203" t="s">
        <v>210</v>
      </c>
      <c r="L203" t="s">
        <v>89</v>
      </c>
      <c r="M203" t="s">
        <v>23</v>
      </c>
    </row>
    <row r="204" spans="2:13" ht="14.25" customHeight="1" x14ac:dyDescent="0.3">
      <c r="B204" s="3"/>
      <c r="C204" t="s">
        <v>253</v>
      </c>
      <c r="D204">
        <v>20.2</v>
      </c>
      <c r="E204">
        <v>4</v>
      </c>
      <c r="F204">
        <v>1</v>
      </c>
      <c r="G204">
        <v>1</v>
      </c>
      <c r="H204">
        <v>1</v>
      </c>
      <c r="I204" s="2">
        <v>0.5</v>
      </c>
      <c r="J204" t="s">
        <v>240</v>
      </c>
      <c r="K204" t="s">
        <v>173</v>
      </c>
      <c r="L204" t="s">
        <v>89</v>
      </c>
      <c r="M204" t="s">
        <v>23</v>
      </c>
    </row>
    <row r="205" spans="2:13" ht="14.25" customHeight="1" x14ac:dyDescent="0.3">
      <c r="B205" s="3"/>
      <c r="C205" t="s">
        <v>96</v>
      </c>
      <c r="D205">
        <v>20.2</v>
      </c>
      <c r="E205">
        <v>14.7</v>
      </c>
      <c r="F205">
        <v>0.5</v>
      </c>
      <c r="G205">
        <v>16</v>
      </c>
      <c r="H205">
        <v>1</v>
      </c>
      <c r="I205" s="2">
        <v>2.5</v>
      </c>
      <c r="J205" t="s">
        <v>204</v>
      </c>
      <c r="K205" t="s">
        <v>173</v>
      </c>
      <c r="L205" t="s">
        <v>89</v>
      </c>
      <c r="M205" t="s">
        <v>23</v>
      </c>
    </row>
    <row r="206" spans="2:13" ht="14.25" customHeight="1" x14ac:dyDescent="0.3">
      <c r="B206" s="3"/>
      <c r="C206" t="s">
        <v>253</v>
      </c>
      <c r="D206">
        <v>20.2</v>
      </c>
      <c r="E206">
        <v>15.6</v>
      </c>
      <c r="F206">
        <v>4</v>
      </c>
      <c r="G206">
        <v>1</v>
      </c>
      <c r="H206">
        <v>1</v>
      </c>
      <c r="I206" s="2">
        <v>1.4</v>
      </c>
      <c r="J206" t="s">
        <v>240</v>
      </c>
      <c r="K206" t="s">
        <v>173</v>
      </c>
      <c r="L206" t="s">
        <v>89</v>
      </c>
      <c r="M206" t="s">
        <v>23</v>
      </c>
    </row>
    <row r="207" spans="2:13" ht="14.25" customHeight="1" x14ac:dyDescent="0.3">
      <c r="B207" s="3"/>
      <c r="C207" t="s">
        <v>107</v>
      </c>
      <c r="D207">
        <v>20.350000000000001</v>
      </c>
      <c r="E207">
        <v>14.55</v>
      </c>
      <c r="F207">
        <v>0.8</v>
      </c>
      <c r="G207">
        <v>5000</v>
      </c>
      <c r="H207">
        <v>1</v>
      </c>
      <c r="I207" s="2">
        <v>0.19</v>
      </c>
      <c r="J207" t="s">
        <v>108</v>
      </c>
      <c r="K207" t="s">
        <v>141</v>
      </c>
      <c r="L207" t="s">
        <v>22</v>
      </c>
      <c r="M207" t="s">
        <v>28</v>
      </c>
    </row>
    <row r="208" spans="2:13" ht="14.25" customHeight="1" x14ac:dyDescent="0.3">
      <c r="B208" s="3"/>
      <c r="C208" t="s">
        <v>107</v>
      </c>
      <c r="D208">
        <v>20.350000000000001</v>
      </c>
      <c r="E208">
        <v>14.55</v>
      </c>
      <c r="F208">
        <v>0.8</v>
      </c>
      <c r="G208">
        <v>5000</v>
      </c>
      <c r="H208">
        <v>1</v>
      </c>
      <c r="I208" s="2">
        <v>0.2</v>
      </c>
      <c r="J208" t="s">
        <v>110</v>
      </c>
      <c r="K208" t="s">
        <v>142</v>
      </c>
      <c r="L208" t="s">
        <v>22</v>
      </c>
      <c r="M208" t="s">
        <v>23</v>
      </c>
    </row>
    <row r="209" spans="2:13" ht="14.25" customHeight="1" x14ac:dyDescent="0.3">
      <c r="B209" s="3"/>
      <c r="C209" t="s">
        <v>107</v>
      </c>
      <c r="D209">
        <v>20.350000000000001</v>
      </c>
      <c r="E209">
        <v>14.55</v>
      </c>
      <c r="F209">
        <v>0.8</v>
      </c>
      <c r="G209">
        <v>5000</v>
      </c>
      <c r="H209">
        <v>1</v>
      </c>
      <c r="I209" s="2">
        <v>0.33</v>
      </c>
      <c r="J209" t="s">
        <v>112</v>
      </c>
      <c r="K209" t="s">
        <v>143</v>
      </c>
      <c r="L209" t="s">
        <v>22</v>
      </c>
      <c r="M209" t="s">
        <v>33</v>
      </c>
    </row>
    <row r="210" spans="2:13" ht="14.25" customHeight="1" x14ac:dyDescent="0.3">
      <c r="B210" s="3"/>
      <c r="C210" t="s">
        <v>120</v>
      </c>
      <c r="D210">
        <v>20.5</v>
      </c>
      <c r="E210">
        <v>3.5</v>
      </c>
      <c r="F210">
        <v>1</v>
      </c>
      <c r="G210">
        <v>2</v>
      </c>
      <c r="H210">
        <v>1</v>
      </c>
      <c r="I210" s="2">
        <v>0.1</v>
      </c>
      <c r="J210" t="s">
        <v>240</v>
      </c>
      <c r="K210" t="s">
        <v>173</v>
      </c>
      <c r="L210" t="s">
        <v>89</v>
      </c>
      <c r="M210" t="s">
        <v>23</v>
      </c>
    </row>
    <row r="211" spans="2:13" ht="14.25" customHeight="1" x14ac:dyDescent="0.3">
      <c r="B211" s="3"/>
      <c r="C211" t="s">
        <v>42</v>
      </c>
      <c r="D211">
        <v>20.6</v>
      </c>
      <c r="E211">
        <v>18.5</v>
      </c>
      <c r="F211">
        <v>3</v>
      </c>
      <c r="G211">
        <v>5000</v>
      </c>
      <c r="H211">
        <v>1</v>
      </c>
      <c r="I211" s="2">
        <f>0.55+(240/G211)</f>
        <v>0.59800000000000009</v>
      </c>
      <c r="J211" t="s">
        <v>238</v>
      </c>
      <c r="K211" t="s">
        <v>254</v>
      </c>
      <c r="L211" t="s">
        <v>22</v>
      </c>
      <c r="M211" t="s">
        <v>23</v>
      </c>
    </row>
    <row r="212" spans="2:13" ht="14.25" customHeight="1" x14ac:dyDescent="0.3">
      <c r="B212" s="3"/>
      <c r="C212" t="s">
        <v>120</v>
      </c>
      <c r="D212">
        <v>21.2</v>
      </c>
      <c r="E212">
        <v>4.5</v>
      </c>
      <c r="F212">
        <v>1</v>
      </c>
      <c r="G212">
        <v>1</v>
      </c>
      <c r="H212">
        <v>1</v>
      </c>
      <c r="I212" s="2">
        <v>0.1</v>
      </c>
      <c r="J212" t="s">
        <v>240</v>
      </c>
      <c r="K212" t="s">
        <v>173</v>
      </c>
      <c r="L212" t="s">
        <v>89</v>
      </c>
      <c r="M212" t="s">
        <v>23</v>
      </c>
    </row>
    <row r="213" spans="2:13" ht="14.25" customHeight="1" x14ac:dyDescent="0.3">
      <c r="B213" s="3"/>
      <c r="C213" t="s">
        <v>96</v>
      </c>
      <c r="D213">
        <v>21.2</v>
      </c>
      <c r="E213">
        <v>13</v>
      </c>
      <c r="F213">
        <v>2</v>
      </c>
      <c r="G213">
        <v>8</v>
      </c>
      <c r="H213">
        <v>1</v>
      </c>
      <c r="I213" s="2">
        <v>1.8</v>
      </c>
      <c r="J213" t="s">
        <v>204</v>
      </c>
      <c r="K213" t="s">
        <v>173</v>
      </c>
      <c r="L213" t="s">
        <v>89</v>
      </c>
      <c r="M213" t="s">
        <v>23</v>
      </c>
    </row>
    <row r="214" spans="2:13" ht="14.25" customHeight="1" x14ac:dyDescent="0.3">
      <c r="B214" s="3"/>
      <c r="C214" t="s">
        <v>120</v>
      </c>
      <c r="D214">
        <v>21.5</v>
      </c>
      <c r="E214">
        <v>10</v>
      </c>
      <c r="F214">
        <v>9</v>
      </c>
      <c r="G214">
        <v>1</v>
      </c>
      <c r="H214">
        <v>1</v>
      </c>
      <c r="I214" s="2">
        <v>2.5</v>
      </c>
      <c r="J214" t="s">
        <v>121</v>
      </c>
      <c r="K214" t="s">
        <v>173</v>
      </c>
      <c r="L214" t="s">
        <v>89</v>
      </c>
      <c r="M214" t="s">
        <v>23</v>
      </c>
    </row>
    <row r="215" spans="2:13" ht="14.25" customHeight="1" x14ac:dyDescent="0.3">
      <c r="B215" s="3"/>
      <c r="C215" t="s">
        <v>122</v>
      </c>
      <c r="D215">
        <v>22</v>
      </c>
      <c r="E215">
        <v>14</v>
      </c>
      <c r="F215">
        <v>5</v>
      </c>
      <c r="G215">
        <v>1000</v>
      </c>
      <c r="H215">
        <v>1</v>
      </c>
      <c r="I215" s="2">
        <f>0.855+240/1000</f>
        <v>1.095</v>
      </c>
      <c r="J215" t="s">
        <v>255</v>
      </c>
      <c r="K215" t="s">
        <v>123</v>
      </c>
      <c r="L215" t="s">
        <v>32</v>
      </c>
      <c r="M215" t="s">
        <v>23</v>
      </c>
    </row>
    <row r="216" spans="2:13" ht="14.25" customHeight="1" x14ac:dyDescent="0.3">
      <c r="B216" s="3"/>
      <c r="C216" t="s">
        <v>175</v>
      </c>
      <c r="D216">
        <v>24</v>
      </c>
      <c r="E216">
        <v>6</v>
      </c>
      <c r="F216">
        <v>4</v>
      </c>
      <c r="G216">
        <v>4</v>
      </c>
      <c r="H216">
        <v>1</v>
      </c>
      <c r="I216" s="2">
        <f>250/6</f>
        <v>41.666666666666664</v>
      </c>
      <c r="J216" t="s">
        <v>176</v>
      </c>
      <c r="K216" t="s">
        <v>177</v>
      </c>
      <c r="L216" t="s">
        <v>27</v>
      </c>
      <c r="M216" t="s">
        <v>28</v>
      </c>
    </row>
    <row r="217" spans="2:13" ht="14.25" customHeight="1" x14ac:dyDescent="0.3">
      <c r="B217" s="3"/>
      <c r="C217" t="s">
        <v>120</v>
      </c>
      <c r="D217">
        <v>24</v>
      </c>
      <c r="E217">
        <v>14</v>
      </c>
      <c r="F217">
        <v>4</v>
      </c>
      <c r="G217">
        <v>2</v>
      </c>
      <c r="H217">
        <v>1</v>
      </c>
      <c r="I217" s="2">
        <v>1.6</v>
      </c>
      <c r="J217" t="s">
        <v>174</v>
      </c>
      <c r="K217" t="s">
        <v>173</v>
      </c>
      <c r="L217" t="s">
        <v>89</v>
      </c>
      <c r="M217" t="s">
        <v>23</v>
      </c>
    </row>
    <row r="218" spans="2:13" ht="14.25" customHeight="1" x14ac:dyDescent="0.3">
      <c r="B218" s="3"/>
      <c r="C218" t="s">
        <v>120</v>
      </c>
      <c r="D218">
        <v>24.2</v>
      </c>
      <c r="E218">
        <v>5.5</v>
      </c>
      <c r="F218">
        <v>1</v>
      </c>
      <c r="G218">
        <v>2</v>
      </c>
      <c r="H218">
        <v>1</v>
      </c>
      <c r="I218" s="2">
        <v>0.25</v>
      </c>
      <c r="J218" t="s">
        <v>121</v>
      </c>
      <c r="K218" t="s">
        <v>173</v>
      </c>
      <c r="L218" t="s">
        <v>89</v>
      </c>
      <c r="M218" t="s">
        <v>23</v>
      </c>
    </row>
    <row r="219" spans="2:13" ht="14.25" customHeight="1" x14ac:dyDescent="0.3">
      <c r="B219" s="3"/>
      <c r="C219" t="s">
        <v>256</v>
      </c>
      <c r="D219">
        <v>24.2</v>
      </c>
      <c r="E219">
        <v>9</v>
      </c>
      <c r="F219">
        <v>2</v>
      </c>
      <c r="G219">
        <v>3</v>
      </c>
      <c r="H219">
        <v>1</v>
      </c>
      <c r="I219" s="2">
        <v>0.34</v>
      </c>
      <c r="J219" t="s">
        <v>203</v>
      </c>
      <c r="K219" t="s">
        <v>173</v>
      </c>
      <c r="L219" t="s">
        <v>89</v>
      </c>
      <c r="M219" t="s">
        <v>23</v>
      </c>
    </row>
    <row r="220" spans="2:13" ht="14.25" customHeight="1" x14ac:dyDescent="0.3">
      <c r="B220" s="3"/>
      <c r="C220" t="s">
        <v>256</v>
      </c>
      <c r="D220">
        <v>24.2</v>
      </c>
      <c r="E220">
        <v>9</v>
      </c>
      <c r="F220">
        <v>2.5</v>
      </c>
      <c r="G220">
        <v>3</v>
      </c>
      <c r="H220">
        <v>1</v>
      </c>
      <c r="I220" s="2">
        <v>0.57999999999999996</v>
      </c>
      <c r="J220" t="s">
        <v>203</v>
      </c>
      <c r="K220" t="s">
        <v>173</v>
      </c>
      <c r="L220" t="s">
        <v>89</v>
      </c>
      <c r="M220" t="s">
        <v>23</v>
      </c>
    </row>
    <row r="221" spans="2:13" ht="14.25" customHeight="1" x14ac:dyDescent="0.3">
      <c r="B221" s="3"/>
      <c r="C221" t="s">
        <v>256</v>
      </c>
      <c r="D221">
        <v>24.2</v>
      </c>
      <c r="E221">
        <v>15</v>
      </c>
      <c r="F221">
        <v>5</v>
      </c>
      <c r="G221">
        <v>6</v>
      </c>
      <c r="H221">
        <v>1</v>
      </c>
      <c r="I221" s="2">
        <v>1.39</v>
      </c>
      <c r="J221" t="s">
        <v>203</v>
      </c>
      <c r="K221" t="s">
        <v>173</v>
      </c>
      <c r="L221" t="s">
        <v>89</v>
      </c>
      <c r="M221" t="s">
        <v>23</v>
      </c>
    </row>
    <row r="222" spans="2:13" ht="14.25" customHeight="1" x14ac:dyDescent="0.3">
      <c r="B222" s="3"/>
      <c r="C222" t="s">
        <v>207</v>
      </c>
      <c r="D222">
        <v>25</v>
      </c>
      <c r="E222">
        <v>20</v>
      </c>
      <c r="F222">
        <v>10</v>
      </c>
      <c r="G222">
        <v>1</v>
      </c>
      <c r="H222">
        <v>1</v>
      </c>
      <c r="I222" s="2">
        <v>2</v>
      </c>
      <c r="J222" t="s">
        <v>208</v>
      </c>
      <c r="K222" t="s">
        <v>209</v>
      </c>
      <c r="L222" t="s">
        <v>22</v>
      </c>
      <c r="M222" t="s">
        <v>23</v>
      </c>
    </row>
    <row r="223" spans="2:13" ht="14.25" customHeight="1" x14ac:dyDescent="0.3">
      <c r="B223" s="3"/>
      <c r="C223" t="s">
        <v>207</v>
      </c>
      <c r="D223">
        <v>25</v>
      </c>
      <c r="E223">
        <v>20</v>
      </c>
      <c r="F223">
        <v>10</v>
      </c>
      <c r="G223">
        <v>1</v>
      </c>
      <c r="H223">
        <v>1</v>
      </c>
      <c r="I223" s="2">
        <v>3.6749999999999998</v>
      </c>
      <c r="J223" t="s">
        <v>208</v>
      </c>
      <c r="K223" t="s">
        <v>210</v>
      </c>
      <c r="L223" t="s">
        <v>89</v>
      </c>
      <c r="M223" t="s">
        <v>23</v>
      </c>
    </row>
    <row r="224" spans="2:13" ht="14.25" customHeight="1" x14ac:dyDescent="0.3">
      <c r="B224" s="3"/>
      <c r="C224" t="s">
        <v>257</v>
      </c>
      <c r="D224">
        <v>25</v>
      </c>
      <c r="E224">
        <v>41</v>
      </c>
      <c r="F224">
        <v>5</v>
      </c>
      <c r="G224">
        <v>12</v>
      </c>
      <c r="H224">
        <v>1</v>
      </c>
      <c r="I224" s="2">
        <v>2.0099999999999998</v>
      </c>
      <c r="J224" t="s">
        <v>258</v>
      </c>
      <c r="K224" t="s">
        <v>259</v>
      </c>
      <c r="L224" t="s">
        <v>32</v>
      </c>
      <c r="M224" t="s">
        <v>260</v>
      </c>
    </row>
    <row r="225" spans="2:13" ht="14.25" customHeight="1" x14ac:dyDescent="0.3">
      <c r="B225" s="3"/>
      <c r="C225" t="s">
        <v>257</v>
      </c>
      <c r="D225">
        <v>25</v>
      </c>
      <c r="E225">
        <v>41</v>
      </c>
      <c r="F225">
        <v>50</v>
      </c>
      <c r="G225">
        <v>12</v>
      </c>
      <c r="H225">
        <v>1</v>
      </c>
      <c r="I225" s="2">
        <v>3.32</v>
      </c>
      <c r="J225" t="s">
        <v>261</v>
      </c>
      <c r="K225" t="s">
        <v>259</v>
      </c>
      <c r="L225" t="s">
        <v>32</v>
      </c>
      <c r="M225" t="s">
        <v>23</v>
      </c>
    </row>
    <row r="226" spans="2:13" ht="14.25" customHeight="1" x14ac:dyDescent="0.3">
      <c r="B226" s="3"/>
      <c r="C226" t="s">
        <v>262</v>
      </c>
      <c r="D226">
        <v>25</v>
      </c>
      <c r="E226">
        <v>63.79</v>
      </c>
      <c r="F226">
        <v>1</v>
      </c>
      <c r="G226">
        <v>30</v>
      </c>
      <c r="H226">
        <v>1</v>
      </c>
      <c r="I226" s="2">
        <f>(380/G226)+20.99</f>
        <v>33.656666666666666</v>
      </c>
      <c r="J226" t="s">
        <v>263</v>
      </c>
      <c r="K226" t="s">
        <v>264</v>
      </c>
      <c r="L226" t="s">
        <v>89</v>
      </c>
      <c r="M226" t="s">
        <v>33</v>
      </c>
    </row>
    <row r="227" spans="2:13" ht="14.25" customHeight="1" x14ac:dyDescent="0.3">
      <c r="B227" s="3"/>
      <c r="C227" t="s">
        <v>262</v>
      </c>
      <c r="D227">
        <v>25</v>
      </c>
      <c r="E227">
        <v>63.79</v>
      </c>
      <c r="F227">
        <v>1</v>
      </c>
      <c r="G227">
        <v>30</v>
      </c>
      <c r="H227">
        <v>1</v>
      </c>
      <c r="I227" s="2">
        <f>(380/G227)+26.24</f>
        <v>38.906666666666666</v>
      </c>
      <c r="J227" t="s">
        <v>265</v>
      </c>
      <c r="K227" t="s">
        <v>266</v>
      </c>
      <c r="L227" t="s">
        <v>89</v>
      </c>
      <c r="M227" t="s">
        <v>33</v>
      </c>
    </row>
    <row r="228" spans="2:13" ht="14.25" customHeight="1" x14ac:dyDescent="0.3">
      <c r="B228" s="3"/>
      <c r="C228" t="s">
        <v>262</v>
      </c>
      <c r="D228">
        <v>25</v>
      </c>
      <c r="E228">
        <v>63.79</v>
      </c>
      <c r="F228">
        <v>1</v>
      </c>
      <c r="G228">
        <v>30</v>
      </c>
      <c r="H228">
        <v>1</v>
      </c>
      <c r="I228" s="2">
        <f>(380/G228)+25.32</f>
        <v>37.986666666666665</v>
      </c>
      <c r="J228" t="s">
        <v>263</v>
      </c>
      <c r="K228" t="s">
        <v>267</v>
      </c>
      <c r="L228" t="s">
        <v>27</v>
      </c>
      <c r="M228" t="s">
        <v>33</v>
      </c>
    </row>
    <row r="229" spans="2:13" ht="14.25" customHeight="1" x14ac:dyDescent="0.3">
      <c r="B229" s="3"/>
      <c r="C229" t="s">
        <v>262</v>
      </c>
      <c r="D229">
        <v>25</v>
      </c>
      <c r="E229">
        <v>63.79</v>
      </c>
      <c r="F229">
        <v>1</v>
      </c>
      <c r="G229">
        <v>30</v>
      </c>
      <c r="H229">
        <v>1</v>
      </c>
      <c r="I229" s="2">
        <f>(380/G229)+32.91</f>
        <v>45.576666666666661</v>
      </c>
      <c r="J229" t="s">
        <v>265</v>
      </c>
      <c r="K229" t="s">
        <v>268</v>
      </c>
      <c r="L229" t="s">
        <v>27</v>
      </c>
      <c r="M229" t="s">
        <v>33</v>
      </c>
    </row>
    <row r="230" spans="2:13" ht="14.25" customHeight="1" x14ac:dyDescent="0.3">
      <c r="B230" s="3"/>
      <c r="C230" t="s">
        <v>269</v>
      </c>
      <c r="D230">
        <v>25</v>
      </c>
      <c r="E230">
        <v>25</v>
      </c>
      <c r="F230">
        <v>22</v>
      </c>
      <c r="G230">
        <v>12</v>
      </c>
      <c r="H230">
        <v>1</v>
      </c>
      <c r="I230" s="2">
        <v>21.8</v>
      </c>
      <c r="J230" t="s">
        <v>270</v>
      </c>
      <c r="K230" t="s">
        <v>271</v>
      </c>
      <c r="L230" t="s">
        <v>27</v>
      </c>
      <c r="M230" t="s">
        <v>23</v>
      </c>
    </row>
    <row r="231" spans="2:13" ht="14.25" customHeight="1" x14ac:dyDescent="0.3">
      <c r="B231" s="3"/>
      <c r="C231" t="s">
        <v>256</v>
      </c>
      <c r="D231">
        <v>25.2</v>
      </c>
      <c r="E231">
        <v>13.7</v>
      </c>
      <c r="F231">
        <v>2.5</v>
      </c>
      <c r="G231">
        <v>3</v>
      </c>
      <c r="H231">
        <v>1</v>
      </c>
      <c r="I231" s="2">
        <v>0.92</v>
      </c>
      <c r="J231" t="s">
        <v>203</v>
      </c>
      <c r="K231" t="s">
        <v>173</v>
      </c>
      <c r="L231" t="s">
        <v>89</v>
      </c>
      <c r="M231" t="s">
        <v>23</v>
      </c>
    </row>
    <row r="232" spans="2:13" ht="14.25" customHeight="1" x14ac:dyDescent="0.3">
      <c r="B232" s="3"/>
      <c r="C232" t="s">
        <v>256</v>
      </c>
      <c r="D232">
        <v>25.2</v>
      </c>
      <c r="E232">
        <v>13.7</v>
      </c>
      <c r="F232">
        <v>3</v>
      </c>
      <c r="G232">
        <v>3</v>
      </c>
      <c r="H232">
        <v>1</v>
      </c>
      <c r="I232" s="2">
        <v>1.21</v>
      </c>
      <c r="J232" t="s">
        <v>203</v>
      </c>
      <c r="K232" t="s">
        <v>173</v>
      </c>
      <c r="L232" t="s">
        <v>89</v>
      </c>
      <c r="M232" t="s">
        <v>23</v>
      </c>
    </row>
    <row r="233" spans="2:13" ht="14.25" customHeight="1" x14ac:dyDescent="0.3">
      <c r="B233" s="3"/>
      <c r="C233" t="s">
        <v>256</v>
      </c>
      <c r="D233">
        <v>25.2</v>
      </c>
      <c r="E233">
        <v>18</v>
      </c>
      <c r="F233">
        <v>2</v>
      </c>
      <c r="G233">
        <v>3</v>
      </c>
      <c r="H233">
        <v>1</v>
      </c>
      <c r="I233" s="2">
        <v>0.88</v>
      </c>
      <c r="J233" t="s">
        <v>203</v>
      </c>
      <c r="K233" t="s">
        <v>173</v>
      </c>
      <c r="L233" t="s">
        <v>89</v>
      </c>
      <c r="M233" t="s">
        <v>23</v>
      </c>
    </row>
    <row r="234" spans="2:13" ht="14.25" customHeight="1" x14ac:dyDescent="0.3">
      <c r="B234" s="3"/>
      <c r="C234" t="s">
        <v>235</v>
      </c>
      <c r="D234">
        <v>25.4</v>
      </c>
      <c r="E234">
        <v>16.8</v>
      </c>
      <c r="F234">
        <v>1</v>
      </c>
      <c r="G234">
        <v>48</v>
      </c>
      <c r="H234">
        <v>1</v>
      </c>
      <c r="I234" s="2">
        <v>0.67</v>
      </c>
      <c r="J234" t="s">
        <v>236</v>
      </c>
      <c r="K234" t="s">
        <v>237</v>
      </c>
      <c r="L234" t="s">
        <v>89</v>
      </c>
      <c r="M234" t="s">
        <v>23</v>
      </c>
    </row>
    <row r="235" spans="2:13" ht="14.25" customHeight="1" x14ac:dyDescent="0.3">
      <c r="B235" s="3"/>
      <c r="C235" t="s">
        <v>235</v>
      </c>
      <c r="D235">
        <v>25.4</v>
      </c>
      <c r="E235">
        <v>17.2</v>
      </c>
      <c r="F235">
        <v>1</v>
      </c>
      <c r="G235">
        <v>48</v>
      </c>
      <c r="H235">
        <v>1</v>
      </c>
      <c r="I235" s="2">
        <v>0.67</v>
      </c>
      <c r="J235" t="s">
        <v>236</v>
      </c>
      <c r="K235" t="s">
        <v>237</v>
      </c>
      <c r="L235" t="s">
        <v>89</v>
      </c>
      <c r="M235" t="s">
        <v>23</v>
      </c>
    </row>
    <row r="236" spans="2:13" ht="14.25" customHeight="1" x14ac:dyDescent="0.3">
      <c r="B236" s="3"/>
      <c r="C236" t="s">
        <v>241</v>
      </c>
      <c r="D236">
        <v>26.2</v>
      </c>
      <c r="E236">
        <v>10</v>
      </c>
      <c r="F236">
        <v>1</v>
      </c>
      <c r="G236">
        <v>4</v>
      </c>
      <c r="H236">
        <v>1</v>
      </c>
      <c r="I236" s="2">
        <v>0.33</v>
      </c>
      <c r="J236" t="s">
        <v>272</v>
      </c>
      <c r="K236" t="s">
        <v>173</v>
      </c>
      <c r="L236" t="s">
        <v>89</v>
      </c>
      <c r="M236" t="s">
        <v>23</v>
      </c>
    </row>
    <row r="237" spans="2:13" ht="14.25" customHeight="1" x14ac:dyDescent="0.3">
      <c r="B237" s="3"/>
      <c r="C237" t="s">
        <v>120</v>
      </c>
      <c r="D237">
        <v>26.5</v>
      </c>
      <c r="E237">
        <v>13.2</v>
      </c>
      <c r="F237">
        <v>4</v>
      </c>
      <c r="G237">
        <v>1</v>
      </c>
      <c r="H237">
        <v>1</v>
      </c>
      <c r="I237" s="2">
        <v>1.26</v>
      </c>
      <c r="J237" t="s">
        <v>240</v>
      </c>
      <c r="K237" t="s">
        <v>173</v>
      </c>
      <c r="L237" t="s">
        <v>89</v>
      </c>
      <c r="M237" t="s">
        <v>23</v>
      </c>
    </row>
    <row r="238" spans="2:13" ht="14.25" customHeight="1" x14ac:dyDescent="0.3">
      <c r="B238" s="3"/>
      <c r="C238" t="s">
        <v>120</v>
      </c>
      <c r="D238">
        <v>26.5</v>
      </c>
      <c r="E238">
        <v>13.2</v>
      </c>
      <c r="F238">
        <v>10</v>
      </c>
      <c r="G238">
        <v>1</v>
      </c>
      <c r="H238">
        <v>1</v>
      </c>
      <c r="I238" s="2">
        <v>3.15</v>
      </c>
      <c r="J238" t="s">
        <v>240</v>
      </c>
      <c r="K238" t="s">
        <v>173</v>
      </c>
      <c r="L238" t="s">
        <v>89</v>
      </c>
      <c r="M238" t="s">
        <v>23</v>
      </c>
    </row>
    <row r="239" spans="2:13" ht="14.25" customHeight="1" x14ac:dyDescent="0.3">
      <c r="B239" s="3"/>
      <c r="C239" t="s">
        <v>120</v>
      </c>
      <c r="D239">
        <v>26.5</v>
      </c>
      <c r="E239">
        <v>14</v>
      </c>
      <c r="F239">
        <v>1</v>
      </c>
      <c r="G239">
        <v>2</v>
      </c>
      <c r="H239">
        <v>1</v>
      </c>
      <c r="I239" s="2">
        <v>0.32</v>
      </c>
      <c r="J239" t="s">
        <v>240</v>
      </c>
      <c r="K239" t="s">
        <v>173</v>
      </c>
      <c r="L239" t="s">
        <v>89</v>
      </c>
      <c r="M239" t="s">
        <v>23</v>
      </c>
    </row>
    <row r="240" spans="2:13" ht="14.25" customHeight="1" x14ac:dyDescent="0.3">
      <c r="B240" s="3"/>
      <c r="C240" t="s">
        <v>241</v>
      </c>
      <c r="D240">
        <v>27</v>
      </c>
      <c r="E240">
        <v>17.899999999999999</v>
      </c>
      <c r="F240">
        <v>2</v>
      </c>
      <c r="G240">
        <v>2</v>
      </c>
      <c r="H240">
        <v>1</v>
      </c>
      <c r="I240" s="2">
        <v>0.93</v>
      </c>
      <c r="J240" t="s">
        <v>3</v>
      </c>
      <c r="K240" t="s">
        <v>273</v>
      </c>
      <c r="L240" t="s">
        <v>89</v>
      </c>
      <c r="M240" t="s">
        <v>23</v>
      </c>
    </row>
    <row r="241" spans="2:13" ht="14.25" customHeight="1" x14ac:dyDescent="0.3">
      <c r="B241" s="3"/>
      <c r="C241" t="s">
        <v>124</v>
      </c>
      <c r="D241">
        <v>27</v>
      </c>
      <c r="E241">
        <v>17.5</v>
      </c>
      <c r="F241">
        <v>2</v>
      </c>
      <c r="G241">
        <v>8</v>
      </c>
      <c r="H241">
        <v>1</v>
      </c>
      <c r="I241" s="2">
        <v>1.19</v>
      </c>
      <c r="J241" t="s">
        <v>274</v>
      </c>
      <c r="K241" t="s">
        <v>78</v>
      </c>
      <c r="L241" t="s">
        <v>27</v>
      </c>
      <c r="M241" t="s">
        <v>23</v>
      </c>
    </row>
    <row r="242" spans="2:13" ht="14.25" customHeight="1" x14ac:dyDescent="0.3">
      <c r="B242" s="3"/>
      <c r="C242" t="s">
        <v>124</v>
      </c>
      <c r="D242">
        <v>27</v>
      </c>
      <c r="E242">
        <v>17.5</v>
      </c>
      <c r="F242">
        <v>2</v>
      </c>
      <c r="G242">
        <v>8</v>
      </c>
      <c r="H242">
        <v>1</v>
      </c>
      <c r="I242" s="2">
        <v>2.6</v>
      </c>
      <c r="J242" t="s">
        <v>275</v>
      </c>
      <c r="K242" t="s">
        <v>78</v>
      </c>
      <c r="L242" t="s">
        <v>27</v>
      </c>
      <c r="M242" t="s">
        <v>28</v>
      </c>
    </row>
    <row r="243" spans="2:13" ht="14.25" customHeight="1" x14ac:dyDescent="0.3">
      <c r="B243" s="3"/>
      <c r="C243" t="s">
        <v>120</v>
      </c>
      <c r="D243">
        <v>27.5</v>
      </c>
      <c r="E243">
        <v>5</v>
      </c>
      <c r="F243">
        <v>2</v>
      </c>
      <c r="G243">
        <v>32</v>
      </c>
      <c r="H243">
        <v>1</v>
      </c>
      <c r="I243" s="2">
        <v>0.24</v>
      </c>
      <c r="J243" t="s">
        <v>174</v>
      </c>
      <c r="K243" t="s">
        <v>173</v>
      </c>
      <c r="L243" t="s">
        <v>89</v>
      </c>
      <c r="M243" t="s">
        <v>23</v>
      </c>
    </row>
    <row r="244" spans="2:13" ht="14.25" customHeight="1" x14ac:dyDescent="0.3">
      <c r="B244" s="3"/>
      <c r="C244" t="s">
        <v>120</v>
      </c>
      <c r="D244">
        <v>27.5</v>
      </c>
      <c r="E244">
        <v>10</v>
      </c>
      <c r="F244">
        <v>1</v>
      </c>
      <c r="G244">
        <v>16</v>
      </c>
      <c r="H244">
        <v>1</v>
      </c>
      <c r="I244" s="2">
        <v>0.24</v>
      </c>
      <c r="J244" t="s">
        <v>174</v>
      </c>
      <c r="K244" t="s">
        <v>173</v>
      </c>
      <c r="L244" t="s">
        <v>89</v>
      </c>
      <c r="M244" t="s">
        <v>23</v>
      </c>
    </row>
    <row r="245" spans="2:13" ht="14.25" customHeight="1" x14ac:dyDescent="0.3">
      <c r="B245" s="3"/>
      <c r="C245" t="s">
        <v>120</v>
      </c>
      <c r="D245">
        <v>27.5</v>
      </c>
      <c r="E245">
        <v>10</v>
      </c>
      <c r="F245">
        <v>1.5</v>
      </c>
      <c r="G245">
        <v>8</v>
      </c>
      <c r="H245">
        <v>1</v>
      </c>
      <c r="I245" s="2">
        <v>0.36</v>
      </c>
      <c r="J245" t="s">
        <v>174</v>
      </c>
      <c r="K245" t="s">
        <v>173</v>
      </c>
      <c r="L245" t="s">
        <v>89</v>
      </c>
      <c r="M245" t="s">
        <v>23</v>
      </c>
    </row>
    <row r="246" spans="2:13" ht="14.25" customHeight="1" x14ac:dyDescent="0.3">
      <c r="B246" s="3"/>
      <c r="C246" t="s">
        <v>120</v>
      </c>
      <c r="D246">
        <v>27.5</v>
      </c>
      <c r="E246">
        <v>10</v>
      </c>
      <c r="F246">
        <v>2</v>
      </c>
      <c r="G246">
        <v>8</v>
      </c>
      <c r="H246">
        <v>1</v>
      </c>
      <c r="I246" s="2">
        <v>0.48</v>
      </c>
      <c r="J246" t="s">
        <v>174</v>
      </c>
      <c r="K246" t="s">
        <v>173</v>
      </c>
      <c r="L246" t="s">
        <v>89</v>
      </c>
      <c r="M246" t="s">
        <v>23</v>
      </c>
    </row>
    <row r="247" spans="2:13" ht="14.25" customHeight="1" x14ac:dyDescent="0.3">
      <c r="B247" s="3"/>
      <c r="C247" t="s">
        <v>202</v>
      </c>
      <c r="D247">
        <v>27.5</v>
      </c>
      <c r="E247">
        <v>10.7</v>
      </c>
      <c r="F247">
        <v>1.5</v>
      </c>
      <c r="G247">
        <v>6</v>
      </c>
      <c r="H247">
        <v>1</v>
      </c>
      <c r="I247" s="2">
        <v>0.38</v>
      </c>
      <c r="J247" t="s">
        <v>203</v>
      </c>
      <c r="K247" t="s">
        <v>173</v>
      </c>
      <c r="L247" t="s">
        <v>89</v>
      </c>
      <c r="M247" t="s">
        <v>23</v>
      </c>
    </row>
    <row r="248" spans="2:13" ht="14.25" customHeight="1" x14ac:dyDescent="0.3">
      <c r="B248" s="3"/>
      <c r="C248" t="s">
        <v>202</v>
      </c>
      <c r="D248">
        <v>27.5</v>
      </c>
      <c r="E248">
        <v>10.7</v>
      </c>
      <c r="F248">
        <v>10</v>
      </c>
      <c r="G248">
        <v>6</v>
      </c>
      <c r="H248">
        <v>1</v>
      </c>
      <c r="I248" s="2">
        <v>0.24</v>
      </c>
      <c r="J248" t="s">
        <v>203</v>
      </c>
      <c r="K248" t="s">
        <v>173</v>
      </c>
      <c r="L248" t="s">
        <v>89</v>
      </c>
      <c r="M248" t="s">
        <v>23</v>
      </c>
    </row>
    <row r="249" spans="2:13" ht="14.25" customHeight="1" x14ac:dyDescent="0.3">
      <c r="B249" s="3"/>
      <c r="C249" t="s">
        <v>120</v>
      </c>
      <c r="D249">
        <v>27.5</v>
      </c>
      <c r="E249">
        <v>11.1</v>
      </c>
      <c r="F249">
        <v>1</v>
      </c>
      <c r="G249">
        <v>8</v>
      </c>
      <c r="H249">
        <v>1</v>
      </c>
      <c r="I249" s="2">
        <v>0.3</v>
      </c>
      <c r="J249" t="s">
        <v>174</v>
      </c>
      <c r="K249" t="s">
        <v>173</v>
      </c>
      <c r="L249" t="s">
        <v>89</v>
      </c>
      <c r="M249" t="s">
        <v>23</v>
      </c>
    </row>
    <row r="250" spans="2:13" ht="14.25" customHeight="1" x14ac:dyDescent="0.3">
      <c r="B250" s="3"/>
      <c r="C250" t="s">
        <v>202</v>
      </c>
      <c r="D250">
        <v>27.5</v>
      </c>
      <c r="E250">
        <v>24.2</v>
      </c>
      <c r="F250">
        <v>2</v>
      </c>
      <c r="G250">
        <v>6</v>
      </c>
      <c r="H250">
        <v>1</v>
      </c>
      <c r="I250" s="2">
        <v>0.95</v>
      </c>
      <c r="J250" t="s">
        <v>203</v>
      </c>
      <c r="K250" t="s">
        <v>173</v>
      </c>
      <c r="L250" t="s">
        <v>89</v>
      </c>
      <c r="M250" t="s">
        <v>23</v>
      </c>
    </row>
    <row r="251" spans="2:13" ht="14.25" customHeight="1" x14ac:dyDescent="0.3">
      <c r="B251" s="3"/>
      <c r="C251" t="s">
        <v>202</v>
      </c>
      <c r="D251">
        <v>27.5</v>
      </c>
      <c r="E251">
        <v>25.2</v>
      </c>
      <c r="F251">
        <v>1.5</v>
      </c>
      <c r="G251">
        <v>12</v>
      </c>
      <c r="H251">
        <v>1</v>
      </c>
      <c r="I251" s="2">
        <v>0.94</v>
      </c>
      <c r="J251" t="s">
        <v>203</v>
      </c>
      <c r="K251" t="s">
        <v>173</v>
      </c>
      <c r="L251" t="s">
        <v>89</v>
      </c>
      <c r="M251" t="s">
        <v>23</v>
      </c>
    </row>
    <row r="252" spans="2:13" ht="14.25" customHeight="1" x14ac:dyDescent="0.3">
      <c r="B252" s="3"/>
      <c r="C252" t="s">
        <v>202</v>
      </c>
      <c r="D252">
        <v>28</v>
      </c>
      <c r="E252">
        <v>5</v>
      </c>
      <c r="F252">
        <v>2</v>
      </c>
      <c r="G252">
        <v>1</v>
      </c>
      <c r="H252">
        <v>1</v>
      </c>
      <c r="I252" s="2">
        <v>0.51</v>
      </c>
      <c r="J252" t="s">
        <v>240</v>
      </c>
      <c r="K252" t="s">
        <v>173</v>
      </c>
      <c r="L252" t="s">
        <v>89</v>
      </c>
      <c r="M252" t="s">
        <v>23</v>
      </c>
    </row>
    <row r="253" spans="2:13" ht="14.25" customHeight="1" x14ac:dyDescent="0.3">
      <c r="B253" s="3"/>
      <c r="C253" t="s">
        <v>120</v>
      </c>
      <c r="D253">
        <v>28.5</v>
      </c>
      <c r="E253">
        <v>5</v>
      </c>
      <c r="F253">
        <v>9</v>
      </c>
      <c r="G253">
        <v>1</v>
      </c>
      <c r="H253">
        <v>1</v>
      </c>
      <c r="I253" s="2">
        <v>1.66</v>
      </c>
      <c r="J253" t="s">
        <v>121</v>
      </c>
      <c r="K253" t="s">
        <v>173</v>
      </c>
      <c r="L253" t="s">
        <v>89</v>
      </c>
      <c r="M253" t="s">
        <v>23</v>
      </c>
    </row>
    <row r="254" spans="2:13" ht="14.25" customHeight="1" x14ac:dyDescent="0.3">
      <c r="B254" s="3"/>
      <c r="C254" t="s">
        <v>120</v>
      </c>
      <c r="D254">
        <v>28.5</v>
      </c>
      <c r="E254">
        <v>8</v>
      </c>
      <c r="F254">
        <v>1</v>
      </c>
      <c r="G254">
        <v>4</v>
      </c>
      <c r="H254">
        <v>1</v>
      </c>
      <c r="I254" s="2">
        <v>0.3</v>
      </c>
      <c r="J254" t="s">
        <v>121</v>
      </c>
      <c r="K254" t="s">
        <v>173</v>
      </c>
      <c r="L254" t="s">
        <v>89</v>
      </c>
      <c r="M254" t="s">
        <v>23</v>
      </c>
    </row>
    <row r="255" spans="2:13" ht="14.25" customHeight="1" x14ac:dyDescent="0.3">
      <c r="B255" s="3"/>
      <c r="C255" t="s">
        <v>120</v>
      </c>
      <c r="D255">
        <v>28.5</v>
      </c>
      <c r="E255">
        <v>10</v>
      </c>
      <c r="F255">
        <v>1</v>
      </c>
      <c r="G255">
        <v>4</v>
      </c>
      <c r="H255">
        <v>1</v>
      </c>
      <c r="I255" s="2">
        <v>0.3</v>
      </c>
      <c r="J255" t="s">
        <v>121</v>
      </c>
      <c r="K255" t="s">
        <v>173</v>
      </c>
      <c r="L255" t="s">
        <v>89</v>
      </c>
      <c r="M255" t="s">
        <v>23</v>
      </c>
    </row>
    <row r="256" spans="2:13" ht="14.25" customHeight="1" x14ac:dyDescent="0.3">
      <c r="B256" s="3"/>
      <c r="C256" t="s">
        <v>120</v>
      </c>
      <c r="D256">
        <v>28.5</v>
      </c>
      <c r="E256">
        <v>10</v>
      </c>
      <c r="F256">
        <v>9</v>
      </c>
      <c r="G256">
        <v>1</v>
      </c>
      <c r="H256">
        <v>1</v>
      </c>
      <c r="I256" s="2">
        <v>3.3</v>
      </c>
      <c r="J256" t="s">
        <v>121</v>
      </c>
      <c r="K256" t="s">
        <v>173</v>
      </c>
      <c r="L256" t="s">
        <v>89</v>
      </c>
      <c r="M256" t="s">
        <v>23</v>
      </c>
    </row>
    <row r="257" spans="2:13" ht="14.25" customHeight="1" x14ac:dyDescent="0.3">
      <c r="B257" s="3"/>
      <c r="C257" t="s">
        <v>120</v>
      </c>
      <c r="D257">
        <v>28.5</v>
      </c>
      <c r="E257">
        <v>11.5</v>
      </c>
      <c r="F257">
        <v>1</v>
      </c>
      <c r="G257">
        <v>4</v>
      </c>
      <c r="H257">
        <v>1</v>
      </c>
      <c r="I257" s="2">
        <v>0.36</v>
      </c>
      <c r="J257" t="s">
        <v>121</v>
      </c>
      <c r="K257" t="s">
        <v>173</v>
      </c>
      <c r="L257" t="s">
        <v>89</v>
      </c>
      <c r="M257" t="s">
        <v>23</v>
      </c>
    </row>
    <row r="258" spans="2:13" ht="14.25" customHeight="1" x14ac:dyDescent="0.3">
      <c r="B258" s="3"/>
      <c r="C258" t="s">
        <v>276</v>
      </c>
      <c r="D258">
        <v>28.6</v>
      </c>
      <c r="E258">
        <v>3.4</v>
      </c>
      <c r="F258">
        <v>9.9</v>
      </c>
      <c r="G258">
        <v>37702</v>
      </c>
      <c r="H258">
        <v>1</v>
      </c>
      <c r="I258" s="2">
        <v>0.248</v>
      </c>
      <c r="J258" t="s">
        <v>277</v>
      </c>
      <c r="K258" t="s">
        <v>278</v>
      </c>
      <c r="L258" t="s">
        <v>22</v>
      </c>
      <c r="M258" t="s">
        <v>33</v>
      </c>
    </row>
    <row r="259" spans="2:13" ht="14.25" customHeight="1" x14ac:dyDescent="0.3">
      <c r="B259" s="3"/>
      <c r="C259" t="s">
        <v>276</v>
      </c>
      <c r="D259">
        <v>28.6</v>
      </c>
      <c r="E259">
        <v>3.4</v>
      </c>
      <c r="F259">
        <v>9.9</v>
      </c>
      <c r="G259">
        <v>37702</v>
      </c>
      <c r="H259">
        <v>1</v>
      </c>
      <c r="I259" s="2">
        <v>0.37</v>
      </c>
      <c r="J259" t="s">
        <v>279</v>
      </c>
      <c r="K259" t="s">
        <v>278</v>
      </c>
      <c r="L259" t="s">
        <v>22</v>
      </c>
      <c r="M259" t="s">
        <v>23</v>
      </c>
    </row>
    <row r="260" spans="2:13" ht="14.25" customHeight="1" x14ac:dyDescent="0.3">
      <c r="B260" s="3"/>
      <c r="C260" t="s">
        <v>120</v>
      </c>
      <c r="D260">
        <v>29</v>
      </c>
      <c r="E260">
        <v>10</v>
      </c>
      <c r="F260">
        <v>1</v>
      </c>
      <c r="G260">
        <v>8</v>
      </c>
      <c r="H260">
        <v>1</v>
      </c>
      <c r="I260" s="2">
        <v>0.26</v>
      </c>
      <c r="J260" t="s">
        <v>174</v>
      </c>
      <c r="K260" t="s">
        <v>173</v>
      </c>
      <c r="L260" t="s">
        <v>89</v>
      </c>
      <c r="M260" t="s">
        <v>23</v>
      </c>
    </row>
    <row r="261" spans="2:13" ht="14.25" customHeight="1" x14ac:dyDescent="0.3">
      <c r="B261" s="3"/>
      <c r="C261" t="s">
        <v>241</v>
      </c>
      <c r="D261">
        <v>29.3</v>
      </c>
      <c r="E261">
        <v>10</v>
      </c>
      <c r="F261">
        <v>3.3</v>
      </c>
      <c r="G261">
        <v>16</v>
      </c>
      <c r="H261">
        <v>1</v>
      </c>
      <c r="I261" s="2">
        <v>1.1000000000000001</v>
      </c>
      <c r="J261" t="s">
        <v>192</v>
      </c>
      <c r="K261" t="s">
        <v>173</v>
      </c>
      <c r="L261" t="s">
        <v>89</v>
      </c>
      <c r="M261" t="s">
        <v>23</v>
      </c>
    </row>
    <row r="262" spans="2:13" ht="14.25" customHeight="1" x14ac:dyDescent="0.3">
      <c r="B262" s="3"/>
      <c r="C262" t="s">
        <v>241</v>
      </c>
      <c r="D262">
        <v>29.3</v>
      </c>
      <c r="E262">
        <v>13.3</v>
      </c>
      <c r="F262">
        <v>2</v>
      </c>
      <c r="G262">
        <v>9</v>
      </c>
      <c r="H262">
        <v>1</v>
      </c>
      <c r="I262" s="2">
        <v>1.33</v>
      </c>
      <c r="J262" t="s">
        <v>192</v>
      </c>
      <c r="K262" t="s">
        <v>173</v>
      </c>
      <c r="L262" t="s">
        <v>89</v>
      </c>
      <c r="M262" t="s">
        <v>23</v>
      </c>
    </row>
    <row r="263" spans="2:13" ht="14.25" customHeight="1" x14ac:dyDescent="0.3">
      <c r="B263" s="3"/>
      <c r="C263" t="s">
        <v>120</v>
      </c>
      <c r="D263">
        <v>29.3</v>
      </c>
      <c r="E263">
        <v>28.5</v>
      </c>
      <c r="F263">
        <v>1</v>
      </c>
      <c r="G263">
        <v>2</v>
      </c>
      <c r="H263">
        <v>1</v>
      </c>
      <c r="I263" s="2">
        <v>1.1000000000000001</v>
      </c>
      <c r="J263" t="s">
        <v>121</v>
      </c>
      <c r="K263" t="s">
        <v>173</v>
      </c>
      <c r="L263" t="s">
        <v>89</v>
      </c>
      <c r="M263" t="s">
        <v>23</v>
      </c>
    </row>
    <row r="264" spans="2:13" ht="14.25" customHeight="1" x14ac:dyDescent="0.3">
      <c r="B264" s="3"/>
      <c r="C264" t="s">
        <v>202</v>
      </c>
      <c r="D264">
        <v>29.5</v>
      </c>
      <c r="E264">
        <v>9</v>
      </c>
      <c r="F264">
        <v>1</v>
      </c>
      <c r="G264">
        <v>6</v>
      </c>
      <c r="H264">
        <v>1</v>
      </c>
      <c r="I264" s="2">
        <v>0.22</v>
      </c>
      <c r="J264" t="s">
        <v>203</v>
      </c>
      <c r="K264" t="s">
        <v>173</v>
      </c>
      <c r="L264" t="s">
        <v>89</v>
      </c>
      <c r="M264" t="s">
        <v>23</v>
      </c>
    </row>
    <row r="265" spans="2:13" ht="14.25" customHeight="1" x14ac:dyDescent="0.3">
      <c r="B265" s="3"/>
      <c r="C265" t="s">
        <v>241</v>
      </c>
      <c r="D265">
        <v>29.8</v>
      </c>
      <c r="E265">
        <v>15.2</v>
      </c>
      <c r="F265">
        <v>10</v>
      </c>
      <c r="G265">
        <v>3</v>
      </c>
      <c r="H265">
        <v>1</v>
      </c>
      <c r="I265" s="2">
        <v>0.33</v>
      </c>
      <c r="J265" t="s">
        <v>280</v>
      </c>
      <c r="K265" t="s">
        <v>273</v>
      </c>
      <c r="L265" t="s">
        <v>89</v>
      </c>
      <c r="M265" t="s">
        <v>23</v>
      </c>
    </row>
    <row r="266" spans="2:13" ht="14.25" customHeight="1" x14ac:dyDescent="0.3">
      <c r="C266" t="s">
        <v>241</v>
      </c>
      <c r="D266">
        <v>29.8</v>
      </c>
      <c r="E266">
        <v>15.2</v>
      </c>
      <c r="F266">
        <v>10</v>
      </c>
      <c r="G266">
        <v>3</v>
      </c>
      <c r="H266">
        <v>1</v>
      </c>
      <c r="I266" s="2">
        <v>4.5</v>
      </c>
      <c r="J266" t="s">
        <v>3</v>
      </c>
      <c r="K266" t="s">
        <v>273</v>
      </c>
      <c r="L266" t="s">
        <v>89</v>
      </c>
      <c r="M266" t="s">
        <v>23</v>
      </c>
    </row>
    <row r="267" spans="2:13" ht="14.25" customHeight="1" x14ac:dyDescent="0.3">
      <c r="B267" s="3"/>
      <c r="C267" t="s">
        <v>281</v>
      </c>
      <c r="D267">
        <v>30</v>
      </c>
      <c r="E267">
        <v>5</v>
      </c>
      <c r="F267">
        <v>5</v>
      </c>
      <c r="G267">
        <v>4</v>
      </c>
      <c r="H267">
        <v>1</v>
      </c>
      <c r="I267" s="2">
        <f>140/G267</f>
        <v>35</v>
      </c>
      <c r="J267" t="s">
        <v>282</v>
      </c>
      <c r="K267" t="s">
        <v>283</v>
      </c>
      <c r="L267" t="s">
        <v>89</v>
      </c>
      <c r="M267" t="s">
        <v>28</v>
      </c>
    </row>
    <row r="268" spans="2:13" ht="14.25" customHeight="1" x14ac:dyDescent="0.3">
      <c r="B268" s="3"/>
      <c r="C268" t="s">
        <v>284</v>
      </c>
      <c r="D268">
        <v>30</v>
      </c>
      <c r="E268">
        <v>20</v>
      </c>
      <c r="F268">
        <v>2</v>
      </c>
      <c r="G268">
        <v>6</v>
      </c>
      <c r="H268">
        <v>1</v>
      </c>
      <c r="I268" s="2">
        <v>2.04</v>
      </c>
      <c r="J268" t="s">
        <v>285</v>
      </c>
      <c r="K268" t="s">
        <v>286</v>
      </c>
      <c r="L268" t="s">
        <v>40</v>
      </c>
      <c r="M268" t="s">
        <v>23</v>
      </c>
    </row>
    <row r="269" spans="2:13" ht="14.25" customHeight="1" x14ac:dyDescent="0.3">
      <c r="B269" s="3"/>
      <c r="C269" t="s">
        <v>120</v>
      </c>
      <c r="D269">
        <v>30</v>
      </c>
      <c r="E269">
        <v>22.5</v>
      </c>
      <c r="F269">
        <v>3</v>
      </c>
      <c r="G269">
        <v>6</v>
      </c>
      <c r="H269">
        <v>1</v>
      </c>
      <c r="I269" s="2">
        <v>26</v>
      </c>
      <c r="J269" t="s">
        <v>287</v>
      </c>
      <c r="K269" t="s">
        <v>288</v>
      </c>
      <c r="L269" t="s">
        <v>89</v>
      </c>
      <c r="M269" t="s">
        <v>33</v>
      </c>
    </row>
    <row r="270" spans="2:13" ht="14.25" customHeight="1" x14ac:dyDescent="0.3">
      <c r="B270" s="3"/>
      <c r="C270" t="s">
        <v>120</v>
      </c>
      <c r="D270">
        <v>30</v>
      </c>
      <c r="E270">
        <v>22.5</v>
      </c>
      <c r="F270">
        <v>3</v>
      </c>
      <c r="G270">
        <v>6</v>
      </c>
      <c r="H270">
        <v>1</v>
      </c>
      <c r="I270" s="2">
        <v>32.884</v>
      </c>
      <c r="J270" t="s">
        <v>289</v>
      </c>
      <c r="K270" t="s">
        <v>290</v>
      </c>
      <c r="L270" t="s">
        <v>40</v>
      </c>
      <c r="M270" t="s">
        <v>291</v>
      </c>
    </row>
    <row r="271" spans="2:13" ht="14.25" customHeight="1" x14ac:dyDescent="0.3">
      <c r="B271" s="3"/>
      <c r="C271" t="s">
        <v>292</v>
      </c>
      <c r="D271">
        <v>30</v>
      </c>
      <c r="E271">
        <v>25</v>
      </c>
      <c r="F271">
        <v>6</v>
      </c>
      <c r="G271">
        <v>1</v>
      </c>
      <c r="H271">
        <v>1</v>
      </c>
      <c r="I271" s="2">
        <v>93.33</v>
      </c>
      <c r="J271" t="s">
        <v>293</v>
      </c>
      <c r="K271" t="s">
        <v>294</v>
      </c>
      <c r="L271" t="s">
        <v>89</v>
      </c>
      <c r="M271" t="s">
        <v>33</v>
      </c>
    </row>
    <row r="272" spans="2:13" ht="14.25" customHeight="1" x14ac:dyDescent="0.3">
      <c r="B272" s="3"/>
      <c r="C272" t="s">
        <v>292</v>
      </c>
      <c r="D272">
        <v>30</v>
      </c>
      <c r="E272">
        <v>25</v>
      </c>
      <c r="F272">
        <v>6</v>
      </c>
      <c r="G272">
        <v>1</v>
      </c>
      <c r="H272">
        <v>1</v>
      </c>
      <c r="I272" s="2">
        <f>2.54+140/H272</f>
        <v>142.54</v>
      </c>
      <c r="J272" t="s">
        <v>295</v>
      </c>
      <c r="K272" t="s">
        <v>296</v>
      </c>
      <c r="L272" t="s">
        <v>89</v>
      </c>
      <c r="M272" t="s">
        <v>23</v>
      </c>
    </row>
    <row r="273" spans="2:13" ht="14.25" customHeight="1" x14ac:dyDescent="0.3">
      <c r="B273" s="3"/>
      <c r="C273" t="s">
        <v>292</v>
      </c>
      <c r="D273">
        <v>30</v>
      </c>
      <c r="E273">
        <v>25</v>
      </c>
      <c r="F273">
        <v>12</v>
      </c>
      <c r="G273">
        <v>1</v>
      </c>
      <c r="H273">
        <v>1</v>
      </c>
      <c r="I273" s="2">
        <v>13.6</v>
      </c>
      <c r="J273" t="s">
        <v>293</v>
      </c>
      <c r="K273" t="s">
        <v>297</v>
      </c>
      <c r="L273" t="s">
        <v>89</v>
      </c>
      <c r="M273" t="s">
        <v>23</v>
      </c>
    </row>
    <row r="274" spans="2:13" ht="14.25" customHeight="1" x14ac:dyDescent="0.3">
      <c r="B274" s="3"/>
      <c r="C274" t="s">
        <v>292</v>
      </c>
      <c r="D274">
        <v>30</v>
      </c>
      <c r="E274">
        <v>25</v>
      </c>
      <c r="F274">
        <v>12</v>
      </c>
      <c r="G274">
        <v>1</v>
      </c>
      <c r="H274">
        <v>1</v>
      </c>
      <c r="I274" s="2">
        <v>93.33</v>
      </c>
      <c r="J274" t="s">
        <v>293</v>
      </c>
      <c r="K274" t="s">
        <v>298</v>
      </c>
      <c r="L274" t="s">
        <v>89</v>
      </c>
      <c r="M274" t="s">
        <v>33</v>
      </c>
    </row>
    <row r="275" spans="2:13" ht="14.25" customHeight="1" x14ac:dyDescent="0.3">
      <c r="B275" s="3"/>
      <c r="C275" t="s">
        <v>124</v>
      </c>
      <c r="D275">
        <v>30</v>
      </c>
      <c r="E275">
        <v>27</v>
      </c>
      <c r="F275">
        <v>2</v>
      </c>
      <c r="G275">
        <v>4</v>
      </c>
      <c r="H275">
        <v>1</v>
      </c>
      <c r="I275" s="2">
        <v>1.94</v>
      </c>
      <c r="J275" t="s">
        <v>274</v>
      </c>
      <c r="K275" t="s">
        <v>78</v>
      </c>
      <c r="L275" t="s">
        <v>27</v>
      </c>
      <c r="M275" t="s">
        <v>23</v>
      </c>
    </row>
    <row r="276" spans="2:13" ht="14.25" customHeight="1" x14ac:dyDescent="0.3">
      <c r="B276" s="3"/>
      <c r="C276" t="s">
        <v>124</v>
      </c>
      <c r="D276">
        <v>30</v>
      </c>
      <c r="E276">
        <v>27</v>
      </c>
      <c r="F276">
        <v>2</v>
      </c>
      <c r="G276">
        <v>4</v>
      </c>
      <c r="H276">
        <v>1</v>
      </c>
      <c r="I276" s="2">
        <v>4.37</v>
      </c>
      <c r="J276" t="s">
        <v>275</v>
      </c>
      <c r="K276" t="s">
        <v>78</v>
      </c>
      <c r="L276" t="s">
        <v>27</v>
      </c>
      <c r="M276" t="s">
        <v>28</v>
      </c>
    </row>
    <row r="277" spans="2:13" ht="14.25" customHeight="1" x14ac:dyDescent="0.3">
      <c r="B277" s="3"/>
      <c r="C277" t="s">
        <v>171</v>
      </c>
      <c r="D277">
        <v>30</v>
      </c>
      <c r="E277">
        <v>30</v>
      </c>
      <c r="F277">
        <v>2</v>
      </c>
      <c r="G277">
        <v>4</v>
      </c>
      <c r="H277">
        <v>1</v>
      </c>
      <c r="I277" s="2">
        <v>1.66</v>
      </c>
      <c r="J277" t="s">
        <v>172</v>
      </c>
      <c r="K277" t="s">
        <v>273</v>
      </c>
      <c r="L277" t="s">
        <v>89</v>
      </c>
      <c r="M277" t="s">
        <v>23</v>
      </c>
    </row>
    <row r="278" spans="2:13" ht="14.25" customHeight="1" x14ac:dyDescent="0.3">
      <c r="B278" s="3"/>
      <c r="C278" t="s">
        <v>128</v>
      </c>
      <c r="D278">
        <v>30</v>
      </c>
      <c r="E278">
        <v>30</v>
      </c>
      <c r="F278">
        <v>30</v>
      </c>
      <c r="G278">
        <v>1</v>
      </c>
      <c r="H278">
        <v>1</v>
      </c>
      <c r="I278" s="2">
        <v>37.61</v>
      </c>
      <c r="J278" t="s">
        <v>299</v>
      </c>
      <c r="K278" t="s">
        <v>300</v>
      </c>
      <c r="L278" t="s">
        <v>22</v>
      </c>
      <c r="M278" t="s">
        <v>23</v>
      </c>
    </row>
    <row r="279" spans="2:13" ht="14.25" customHeight="1" x14ac:dyDescent="0.3">
      <c r="B279" s="3"/>
      <c r="C279" t="s">
        <v>128</v>
      </c>
      <c r="D279">
        <v>30</v>
      </c>
      <c r="E279">
        <v>30</v>
      </c>
      <c r="F279">
        <v>30</v>
      </c>
      <c r="G279">
        <v>1</v>
      </c>
      <c r="H279">
        <v>1</v>
      </c>
      <c r="I279" s="2">
        <v>45.92</v>
      </c>
      <c r="J279" t="s">
        <v>299</v>
      </c>
      <c r="K279" t="s">
        <v>301</v>
      </c>
      <c r="L279" t="s">
        <v>27</v>
      </c>
      <c r="M279" t="s">
        <v>23</v>
      </c>
    </row>
    <row r="280" spans="2:13" ht="14.25" customHeight="1" x14ac:dyDescent="0.3">
      <c r="B280" s="3"/>
      <c r="C280" t="s">
        <v>120</v>
      </c>
      <c r="D280">
        <v>31.4</v>
      </c>
      <c r="E280">
        <v>11.1</v>
      </c>
      <c r="F280">
        <v>1</v>
      </c>
      <c r="G280">
        <v>2</v>
      </c>
      <c r="H280">
        <v>1</v>
      </c>
      <c r="I280" s="2">
        <v>0.34</v>
      </c>
      <c r="J280" t="s">
        <v>174</v>
      </c>
      <c r="K280" t="s">
        <v>173</v>
      </c>
      <c r="L280" t="s">
        <v>89</v>
      </c>
      <c r="M280" t="s">
        <v>23</v>
      </c>
    </row>
    <row r="281" spans="2:13" ht="14.25" customHeight="1" x14ac:dyDescent="0.3">
      <c r="B281" s="3"/>
      <c r="C281" t="s">
        <v>253</v>
      </c>
      <c r="D281">
        <v>31.5</v>
      </c>
      <c r="E281">
        <v>19</v>
      </c>
      <c r="F281">
        <v>6</v>
      </c>
      <c r="G281">
        <v>1</v>
      </c>
      <c r="H281">
        <v>1</v>
      </c>
      <c r="I281" s="2">
        <v>2.9</v>
      </c>
      <c r="J281" t="s">
        <v>240</v>
      </c>
      <c r="K281" t="s">
        <v>173</v>
      </c>
      <c r="L281" t="s">
        <v>89</v>
      </c>
      <c r="M281" t="s">
        <v>23</v>
      </c>
    </row>
    <row r="282" spans="2:13" ht="14.25" customHeight="1" x14ac:dyDescent="0.3">
      <c r="B282" s="3"/>
      <c r="C282" t="s">
        <v>120</v>
      </c>
      <c r="D282">
        <v>33.5</v>
      </c>
      <c r="E282">
        <v>14</v>
      </c>
      <c r="F282">
        <v>1</v>
      </c>
      <c r="G282">
        <v>2</v>
      </c>
      <c r="H282">
        <v>1</v>
      </c>
      <c r="I282" s="2">
        <v>0.43</v>
      </c>
      <c r="J282" t="s">
        <v>240</v>
      </c>
      <c r="K282" t="s">
        <v>173</v>
      </c>
      <c r="L282" t="s">
        <v>89</v>
      </c>
      <c r="M282" t="s">
        <v>23</v>
      </c>
    </row>
    <row r="283" spans="2:13" ht="14.25" customHeight="1" x14ac:dyDescent="0.3">
      <c r="B283" s="3"/>
      <c r="C283" t="s">
        <v>241</v>
      </c>
      <c r="D283">
        <v>32.299999999999997</v>
      </c>
      <c r="E283">
        <v>10</v>
      </c>
      <c r="F283">
        <v>5.2</v>
      </c>
      <c r="G283">
        <v>48</v>
      </c>
      <c r="H283">
        <v>1</v>
      </c>
      <c r="I283" s="2">
        <v>1.8</v>
      </c>
      <c r="J283" t="s">
        <v>192</v>
      </c>
      <c r="K283" t="s">
        <v>173</v>
      </c>
      <c r="L283" t="s">
        <v>89</v>
      </c>
      <c r="M283" t="s">
        <v>23</v>
      </c>
    </row>
    <row r="284" spans="2:13" ht="14.25" customHeight="1" x14ac:dyDescent="0.3">
      <c r="B284" s="3"/>
      <c r="C284" t="s">
        <v>241</v>
      </c>
      <c r="D284">
        <v>32.299999999999997</v>
      </c>
      <c r="E284">
        <v>10</v>
      </c>
      <c r="F284">
        <v>5.2</v>
      </c>
      <c r="G284">
        <v>72</v>
      </c>
      <c r="H284">
        <v>1</v>
      </c>
      <c r="I284" s="2">
        <v>1.38</v>
      </c>
      <c r="J284" t="s">
        <v>302</v>
      </c>
      <c r="K284" t="s">
        <v>303</v>
      </c>
      <c r="L284" t="s">
        <v>89</v>
      </c>
      <c r="M284" t="s">
        <v>28</v>
      </c>
    </row>
    <row r="285" spans="2:13" ht="14.25" customHeight="1" x14ac:dyDescent="0.3">
      <c r="B285" s="3"/>
      <c r="C285" t="s">
        <v>241</v>
      </c>
      <c r="D285">
        <v>32.299999999999997</v>
      </c>
      <c r="E285">
        <v>17.600000000000001</v>
      </c>
      <c r="F285">
        <v>1</v>
      </c>
      <c r="G285">
        <v>24</v>
      </c>
      <c r="H285">
        <v>1</v>
      </c>
      <c r="I285" s="2">
        <v>0.67</v>
      </c>
      <c r="J285" t="s">
        <v>192</v>
      </c>
      <c r="K285" t="s">
        <v>173</v>
      </c>
      <c r="L285" t="s">
        <v>89</v>
      </c>
      <c r="M285" t="s">
        <v>23</v>
      </c>
    </row>
    <row r="286" spans="2:13" ht="14.25" customHeight="1" x14ac:dyDescent="0.3">
      <c r="B286" s="3"/>
      <c r="C286" t="s">
        <v>257</v>
      </c>
      <c r="D286">
        <v>33</v>
      </c>
      <c r="E286">
        <v>44</v>
      </c>
      <c r="F286">
        <v>4.5</v>
      </c>
      <c r="G286">
        <v>12</v>
      </c>
      <c r="H286">
        <v>1</v>
      </c>
      <c r="I286" s="2">
        <v>11.28</v>
      </c>
      <c r="J286" t="s">
        <v>258</v>
      </c>
      <c r="K286" t="s">
        <v>304</v>
      </c>
      <c r="L286" t="s">
        <v>32</v>
      </c>
      <c r="M286" t="s">
        <v>305</v>
      </c>
    </row>
    <row r="287" spans="2:13" ht="14.25" customHeight="1" x14ac:dyDescent="0.3">
      <c r="B287" s="3"/>
      <c r="C287" t="s">
        <v>241</v>
      </c>
      <c r="D287">
        <v>35</v>
      </c>
      <c r="E287">
        <v>13.5</v>
      </c>
      <c r="F287">
        <v>4</v>
      </c>
      <c r="G287">
        <v>4</v>
      </c>
      <c r="H287">
        <v>1</v>
      </c>
      <c r="I287" s="2">
        <v>1.6</v>
      </c>
      <c r="J287" t="s">
        <v>3</v>
      </c>
      <c r="K287" t="s">
        <v>273</v>
      </c>
      <c r="L287" t="s">
        <v>89</v>
      </c>
      <c r="M287" t="s">
        <v>23</v>
      </c>
    </row>
    <row r="288" spans="2:13" ht="14.25" customHeight="1" x14ac:dyDescent="0.3">
      <c r="B288" s="3"/>
      <c r="C288" t="s">
        <v>306</v>
      </c>
      <c r="D288">
        <v>35</v>
      </c>
      <c r="E288">
        <v>19</v>
      </c>
      <c r="F288">
        <v>1</v>
      </c>
      <c r="G288">
        <v>200</v>
      </c>
      <c r="H288">
        <v>1</v>
      </c>
      <c r="I288" s="2">
        <f>2.95*190/200</f>
        <v>2.8025000000000002</v>
      </c>
      <c r="J288" t="s">
        <v>307</v>
      </c>
      <c r="K288" t="s">
        <v>308</v>
      </c>
      <c r="L288" t="s">
        <v>89</v>
      </c>
      <c r="M288" t="s">
        <v>33</v>
      </c>
    </row>
    <row r="289" spans="2:13" ht="14.25" customHeight="1" x14ac:dyDescent="0.3">
      <c r="B289" s="3"/>
      <c r="C289" t="s">
        <v>124</v>
      </c>
      <c r="D289">
        <v>35</v>
      </c>
      <c r="E289">
        <v>24</v>
      </c>
      <c r="F289">
        <v>2.5</v>
      </c>
      <c r="G289">
        <v>3</v>
      </c>
      <c r="H289">
        <v>1</v>
      </c>
      <c r="I289" s="2">
        <v>15</v>
      </c>
      <c r="J289" t="s">
        <v>211</v>
      </c>
      <c r="K289" t="s">
        <v>309</v>
      </c>
      <c r="L289" t="s">
        <v>27</v>
      </c>
      <c r="M289" t="s">
        <v>28</v>
      </c>
    </row>
    <row r="290" spans="2:13" ht="14.25" customHeight="1" x14ac:dyDescent="0.3">
      <c r="B290" s="3"/>
      <c r="C290" t="s">
        <v>241</v>
      </c>
      <c r="D290">
        <v>35</v>
      </c>
      <c r="E290">
        <v>27</v>
      </c>
      <c r="F290">
        <v>5</v>
      </c>
      <c r="G290">
        <v>4</v>
      </c>
      <c r="H290">
        <v>1</v>
      </c>
      <c r="I290" s="2">
        <v>4.49</v>
      </c>
      <c r="J290" t="s">
        <v>3</v>
      </c>
      <c r="K290" t="s">
        <v>273</v>
      </c>
      <c r="L290" t="s">
        <v>89</v>
      </c>
      <c r="M290" t="s">
        <v>23</v>
      </c>
    </row>
    <row r="291" spans="2:13" ht="14.25" customHeight="1" x14ac:dyDescent="0.3">
      <c r="B291" s="3"/>
      <c r="C291" t="s">
        <v>124</v>
      </c>
      <c r="D291">
        <v>35</v>
      </c>
      <c r="E291">
        <v>28</v>
      </c>
      <c r="F291">
        <v>2.5</v>
      </c>
      <c r="G291">
        <v>1</v>
      </c>
      <c r="H291">
        <v>1</v>
      </c>
      <c r="I291" s="2">
        <v>15</v>
      </c>
      <c r="J291" t="s">
        <v>211</v>
      </c>
      <c r="K291" t="s">
        <v>309</v>
      </c>
      <c r="L291" t="s">
        <v>27</v>
      </c>
      <c r="M291" t="s">
        <v>28</v>
      </c>
    </row>
    <row r="292" spans="2:13" ht="14.25" customHeight="1" x14ac:dyDescent="0.3">
      <c r="B292" s="3"/>
      <c r="C292" t="s">
        <v>202</v>
      </c>
      <c r="D292">
        <v>35.200000000000003</v>
      </c>
      <c r="E292">
        <v>25.2</v>
      </c>
      <c r="F292">
        <v>2.5</v>
      </c>
      <c r="G292">
        <v>6</v>
      </c>
      <c r="H292">
        <v>1</v>
      </c>
      <c r="I292" s="2">
        <v>2.2000000000000002</v>
      </c>
      <c r="J292" t="s">
        <v>203</v>
      </c>
      <c r="K292" t="s">
        <v>273</v>
      </c>
      <c r="L292" t="s">
        <v>22</v>
      </c>
      <c r="M292" t="s">
        <v>23</v>
      </c>
    </row>
    <row r="293" spans="2:13" ht="14.25" customHeight="1" x14ac:dyDescent="0.3">
      <c r="B293" s="3"/>
      <c r="C293" t="s">
        <v>232</v>
      </c>
      <c r="D293">
        <v>35.5</v>
      </c>
      <c r="E293">
        <v>15</v>
      </c>
      <c r="F293">
        <v>2</v>
      </c>
      <c r="G293">
        <v>300</v>
      </c>
      <c r="H293">
        <v>1</v>
      </c>
      <c r="I293" s="2">
        <v>0.46450000000000002</v>
      </c>
      <c r="J293" t="s">
        <v>233</v>
      </c>
      <c r="K293" t="s">
        <v>234</v>
      </c>
      <c r="L293" t="s">
        <v>22</v>
      </c>
      <c r="M293" t="s">
        <v>23</v>
      </c>
    </row>
    <row r="294" spans="2:13" ht="14.25" customHeight="1" x14ac:dyDescent="0.3">
      <c r="B294" s="3"/>
      <c r="C294" t="s">
        <v>120</v>
      </c>
      <c r="D294">
        <v>35.5</v>
      </c>
      <c r="E294">
        <v>26.5</v>
      </c>
      <c r="F294">
        <v>3.5</v>
      </c>
      <c r="G294">
        <v>1</v>
      </c>
      <c r="H294">
        <v>1</v>
      </c>
      <c r="I294" s="2">
        <v>3.36</v>
      </c>
      <c r="J294" t="s">
        <v>240</v>
      </c>
      <c r="K294" t="s">
        <v>273</v>
      </c>
      <c r="L294" t="s">
        <v>89</v>
      </c>
      <c r="M294" t="s">
        <v>23</v>
      </c>
    </row>
    <row r="295" spans="2:13" ht="14.25" customHeight="1" x14ac:dyDescent="0.3">
      <c r="B295" s="3"/>
      <c r="C295" t="s">
        <v>253</v>
      </c>
      <c r="D295">
        <v>35.799999999999997</v>
      </c>
      <c r="E295">
        <v>22.8</v>
      </c>
      <c r="F295">
        <v>4</v>
      </c>
      <c r="G295">
        <v>1</v>
      </c>
      <c r="H295">
        <v>1</v>
      </c>
      <c r="I295" s="2">
        <v>3.7</v>
      </c>
      <c r="J295" t="s">
        <v>240</v>
      </c>
      <c r="K295" t="s">
        <v>173</v>
      </c>
      <c r="L295" t="s">
        <v>89</v>
      </c>
      <c r="M295" t="s">
        <v>23</v>
      </c>
    </row>
    <row r="296" spans="2:13" ht="14.25" customHeight="1" x14ac:dyDescent="0.3">
      <c r="B296" s="3"/>
      <c r="C296" t="s">
        <v>276</v>
      </c>
      <c r="D296">
        <v>36</v>
      </c>
      <c r="E296">
        <v>2.2999999999999998</v>
      </c>
      <c r="F296">
        <v>9.9</v>
      </c>
      <c r="G296">
        <v>37702</v>
      </c>
      <c r="H296">
        <v>1</v>
      </c>
      <c r="I296" s="2">
        <v>0.214</v>
      </c>
      <c r="J296" t="s">
        <v>277</v>
      </c>
      <c r="K296" t="s">
        <v>278</v>
      </c>
      <c r="L296" t="s">
        <v>22</v>
      </c>
      <c r="M296" t="s">
        <v>33</v>
      </c>
    </row>
    <row r="297" spans="2:13" ht="14.25" customHeight="1" x14ac:dyDescent="0.3">
      <c r="B297" s="3"/>
      <c r="C297" t="s">
        <v>276</v>
      </c>
      <c r="D297">
        <v>36</v>
      </c>
      <c r="E297">
        <v>2.2999999999999998</v>
      </c>
      <c r="F297">
        <v>9.9</v>
      </c>
      <c r="G297">
        <v>37702</v>
      </c>
      <c r="H297">
        <v>1</v>
      </c>
      <c r="I297" s="2">
        <v>0.31</v>
      </c>
      <c r="J297" t="s">
        <v>279</v>
      </c>
      <c r="K297" t="s">
        <v>278</v>
      </c>
      <c r="L297" t="s">
        <v>22</v>
      </c>
      <c r="M297" t="s">
        <v>23</v>
      </c>
    </row>
    <row r="298" spans="2:13" ht="14.25" customHeight="1" x14ac:dyDescent="0.3">
      <c r="B298" s="3"/>
      <c r="C298" t="s">
        <v>124</v>
      </c>
      <c r="D298">
        <v>37</v>
      </c>
      <c r="E298">
        <v>17.5</v>
      </c>
      <c r="F298">
        <v>2</v>
      </c>
      <c r="G298">
        <v>16</v>
      </c>
      <c r="H298">
        <v>1</v>
      </c>
      <c r="I298" s="2">
        <v>1.45</v>
      </c>
      <c r="J298" t="s">
        <v>274</v>
      </c>
      <c r="K298" t="s">
        <v>310</v>
      </c>
      <c r="L298" t="s">
        <v>27</v>
      </c>
      <c r="M298" t="s">
        <v>23</v>
      </c>
    </row>
    <row r="299" spans="2:13" ht="14.25" customHeight="1" x14ac:dyDescent="0.3">
      <c r="B299" s="3"/>
      <c r="C299" t="s">
        <v>124</v>
      </c>
      <c r="D299">
        <v>37</v>
      </c>
      <c r="E299">
        <v>17.5</v>
      </c>
      <c r="F299">
        <v>2</v>
      </c>
      <c r="G299">
        <v>16</v>
      </c>
      <c r="H299">
        <v>1</v>
      </c>
      <c r="I299" s="2">
        <v>3.26</v>
      </c>
      <c r="J299" t="s">
        <v>275</v>
      </c>
      <c r="K299" t="s">
        <v>311</v>
      </c>
      <c r="L299" t="s">
        <v>27</v>
      </c>
      <c r="M299" t="s">
        <v>28</v>
      </c>
    </row>
    <row r="300" spans="2:13" ht="14.25" customHeight="1" x14ac:dyDescent="0.3">
      <c r="B300" s="3"/>
      <c r="C300" t="s">
        <v>124</v>
      </c>
      <c r="D300">
        <v>37</v>
      </c>
      <c r="E300">
        <v>30</v>
      </c>
      <c r="F300">
        <v>2</v>
      </c>
      <c r="G300">
        <v>8</v>
      </c>
      <c r="H300">
        <v>1</v>
      </c>
      <c r="I300" s="2">
        <v>2.16</v>
      </c>
      <c r="J300" t="s">
        <v>274</v>
      </c>
      <c r="K300" t="s">
        <v>312</v>
      </c>
      <c r="L300" t="s">
        <v>27</v>
      </c>
      <c r="M300" t="s">
        <v>23</v>
      </c>
    </row>
    <row r="301" spans="2:13" ht="14.25" customHeight="1" x14ac:dyDescent="0.3">
      <c r="B301" s="3"/>
      <c r="C301" t="s">
        <v>124</v>
      </c>
      <c r="D301">
        <v>37</v>
      </c>
      <c r="E301">
        <v>30</v>
      </c>
      <c r="F301">
        <v>2</v>
      </c>
      <c r="G301">
        <v>8</v>
      </c>
      <c r="H301">
        <v>1</v>
      </c>
      <c r="I301" s="2">
        <v>4.8600000000000003</v>
      </c>
      <c r="J301" t="s">
        <v>275</v>
      </c>
      <c r="K301" t="s">
        <v>313</v>
      </c>
      <c r="L301" t="s">
        <v>27</v>
      </c>
      <c r="M301" t="s">
        <v>28</v>
      </c>
    </row>
    <row r="302" spans="2:13" ht="14.25" customHeight="1" x14ac:dyDescent="0.3">
      <c r="B302" s="3"/>
      <c r="C302" t="s">
        <v>19</v>
      </c>
      <c r="D302">
        <v>37.5</v>
      </c>
      <c r="E302">
        <v>6.5</v>
      </c>
      <c r="F302">
        <v>1</v>
      </c>
      <c r="G302">
        <v>8</v>
      </c>
      <c r="H302">
        <v>1</v>
      </c>
      <c r="I302" s="2">
        <v>0.5</v>
      </c>
      <c r="J302" t="s">
        <v>314</v>
      </c>
      <c r="K302" t="s">
        <v>315</v>
      </c>
      <c r="L302" t="s">
        <v>27</v>
      </c>
      <c r="M302" t="s">
        <v>23</v>
      </c>
    </row>
    <row r="303" spans="2:13" ht="14.25" customHeight="1" x14ac:dyDescent="0.3">
      <c r="B303" s="3"/>
      <c r="C303" t="s">
        <v>276</v>
      </c>
      <c r="D303">
        <v>37.4</v>
      </c>
      <c r="E303">
        <v>26</v>
      </c>
      <c r="F303">
        <v>4.5</v>
      </c>
      <c r="G303">
        <v>413</v>
      </c>
      <c r="H303">
        <v>1</v>
      </c>
      <c r="I303" s="2">
        <v>4.45</v>
      </c>
      <c r="J303" t="s">
        <v>316</v>
      </c>
      <c r="K303" t="s">
        <v>317</v>
      </c>
      <c r="L303" t="s">
        <v>40</v>
      </c>
      <c r="M303" t="s">
        <v>33</v>
      </c>
    </row>
    <row r="304" spans="2:13" ht="14.25" customHeight="1" x14ac:dyDescent="0.3">
      <c r="B304" s="3"/>
      <c r="C304" t="s">
        <v>276</v>
      </c>
      <c r="D304">
        <v>37.4</v>
      </c>
      <c r="E304">
        <v>26</v>
      </c>
      <c r="F304">
        <v>4.5</v>
      </c>
      <c r="G304">
        <v>825</v>
      </c>
      <c r="H304">
        <v>1</v>
      </c>
      <c r="I304" s="2">
        <v>3.55</v>
      </c>
      <c r="J304" t="s">
        <v>316</v>
      </c>
      <c r="K304" t="s">
        <v>317</v>
      </c>
      <c r="L304" t="s">
        <v>40</v>
      </c>
      <c r="M304" t="s">
        <v>33</v>
      </c>
    </row>
    <row r="305" spans="2:13" ht="14.25" customHeight="1" x14ac:dyDescent="0.3">
      <c r="B305" s="3"/>
      <c r="C305" t="s">
        <v>276</v>
      </c>
      <c r="D305">
        <v>37.4</v>
      </c>
      <c r="E305">
        <v>26</v>
      </c>
      <c r="F305">
        <v>3</v>
      </c>
      <c r="G305">
        <v>1650</v>
      </c>
      <c r="H305">
        <v>1</v>
      </c>
      <c r="I305" s="2">
        <v>3.09</v>
      </c>
      <c r="J305" t="s">
        <v>316</v>
      </c>
      <c r="K305" t="s">
        <v>317</v>
      </c>
      <c r="L305" t="s">
        <v>40</v>
      </c>
      <c r="M305" t="s">
        <v>33</v>
      </c>
    </row>
    <row r="306" spans="2:13" ht="14.25" customHeight="1" x14ac:dyDescent="0.3">
      <c r="B306" s="3"/>
      <c r="C306" t="s">
        <v>276</v>
      </c>
      <c r="D306">
        <v>38</v>
      </c>
      <c r="E306">
        <v>27</v>
      </c>
      <c r="F306">
        <v>3</v>
      </c>
      <c r="G306">
        <v>1650</v>
      </c>
      <c r="H306">
        <v>1</v>
      </c>
      <c r="I306" s="2">
        <v>1.17</v>
      </c>
      <c r="J306" t="s">
        <v>318</v>
      </c>
      <c r="K306" t="s">
        <v>317</v>
      </c>
      <c r="L306" t="s">
        <v>40</v>
      </c>
      <c r="M306" t="s">
        <v>33</v>
      </c>
    </row>
    <row r="307" spans="2:13" ht="14.25" customHeight="1" x14ac:dyDescent="0.3">
      <c r="B307" s="3"/>
      <c r="C307" t="s">
        <v>276</v>
      </c>
      <c r="D307">
        <v>38</v>
      </c>
      <c r="E307">
        <v>27</v>
      </c>
      <c r="F307">
        <v>3</v>
      </c>
      <c r="G307">
        <v>3300</v>
      </c>
      <c r="H307">
        <v>1</v>
      </c>
      <c r="I307" s="2">
        <v>0.89</v>
      </c>
      <c r="J307" t="s">
        <v>318</v>
      </c>
      <c r="K307" t="s">
        <v>317</v>
      </c>
      <c r="L307" t="s">
        <v>40</v>
      </c>
      <c r="M307" t="s">
        <v>33</v>
      </c>
    </row>
    <row r="308" spans="2:13" ht="14.25" customHeight="1" x14ac:dyDescent="0.3">
      <c r="B308" s="3"/>
      <c r="C308" t="s">
        <v>319</v>
      </c>
      <c r="D308">
        <v>38</v>
      </c>
      <c r="E308">
        <v>27</v>
      </c>
      <c r="F308">
        <v>3.6</v>
      </c>
      <c r="G308">
        <v>25</v>
      </c>
      <c r="H308">
        <v>1</v>
      </c>
      <c r="I308" s="2">
        <f>4.835 +90/25</f>
        <v>8.4350000000000005</v>
      </c>
      <c r="J308" t="s">
        <v>320</v>
      </c>
      <c r="K308" t="s">
        <v>321</v>
      </c>
      <c r="L308" t="s">
        <v>32</v>
      </c>
      <c r="M308" t="s">
        <v>33</v>
      </c>
    </row>
    <row r="309" spans="2:13" ht="14.25" customHeight="1" x14ac:dyDescent="0.3">
      <c r="B309" s="3"/>
      <c r="C309" t="s">
        <v>319</v>
      </c>
      <c r="D309">
        <v>38</v>
      </c>
      <c r="E309">
        <v>27</v>
      </c>
      <c r="F309">
        <v>3.6</v>
      </c>
      <c r="G309">
        <v>50</v>
      </c>
      <c r="H309">
        <v>1</v>
      </c>
      <c r="I309" s="2">
        <f>3.135 +90/50</f>
        <v>4.9349999999999996</v>
      </c>
      <c r="J309" t="s">
        <v>320</v>
      </c>
      <c r="K309" t="s">
        <v>321</v>
      </c>
      <c r="L309" t="s">
        <v>32</v>
      </c>
      <c r="M309" t="s">
        <v>33</v>
      </c>
    </row>
    <row r="310" spans="2:13" ht="14.25" customHeight="1" x14ac:dyDescent="0.3">
      <c r="B310" s="3"/>
      <c r="C310" t="s">
        <v>276</v>
      </c>
      <c r="D310">
        <v>38</v>
      </c>
      <c r="E310">
        <v>27</v>
      </c>
      <c r="F310">
        <v>4.7</v>
      </c>
      <c r="G310">
        <v>413</v>
      </c>
      <c r="H310">
        <v>1</v>
      </c>
      <c r="I310" s="2">
        <v>4.5490000000000004</v>
      </c>
      <c r="J310" t="s">
        <v>316</v>
      </c>
      <c r="K310" t="s">
        <v>317</v>
      </c>
      <c r="L310" t="s">
        <v>40</v>
      </c>
      <c r="M310" t="s">
        <v>33</v>
      </c>
    </row>
    <row r="311" spans="2:13" ht="14.25" customHeight="1" x14ac:dyDescent="0.3">
      <c r="B311" s="3"/>
      <c r="C311" t="s">
        <v>276</v>
      </c>
      <c r="D311">
        <v>38</v>
      </c>
      <c r="E311">
        <v>27</v>
      </c>
      <c r="F311">
        <v>4.7</v>
      </c>
      <c r="G311">
        <v>825</v>
      </c>
      <c r="H311">
        <v>1</v>
      </c>
      <c r="I311" s="2">
        <v>3.6419999999999999</v>
      </c>
      <c r="J311" t="s">
        <v>316</v>
      </c>
      <c r="K311" t="s">
        <v>317</v>
      </c>
      <c r="L311" t="s">
        <v>40</v>
      </c>
      <c r="M311" t="s">
        <v>33</v>
      </c>
    </row>
    <row r="312" spans="2:13" ht="14.25" customHeight="1" x14ac:dyDescent="0.3">
      <c r="B312" s="3"/>
      <c r="C312" t="s">
        <v>276</v>
      </c>
      <c r="D312">
        <v>38</v>
      </c>
      <c r="E312">
        <v>27</v>
      </c>
      <c r="F312">
        <v>4.7</v>
      </c>
      <c r="G312">
        <v>1650</v>
      </c>
      <c r="H312">
        <v>1</v>
      </c>
      <c r="I312" s="2">
        <v>3.1869999999999998</v>
      </c>
      <c r="J312" t="s">
        <v>316</v>
      </c>
      <c r="K312" t="s">
        <v>317</v>
      </c>
      <c r="L312" t="s">
        <v>40</v>
      </c>
      <c r="M312" t="s">
        <v>33</v>
      </c>
    </row>
    <row r="313" spans="2:13" ht="14.25" customHeight="1" x14ac:dyDescent="0.3">
      <c r="B313" s="3"/>
      <c r="C313" t="s">
        <v>276</v>
      </c>
      <c r="D313">
        <v>38</v>
      </c>
      <c r="E313">
        <v>27</v>
      </c>
      <c r="F313">
        <v>4.7</v>
      </c>
      <c r="G313">
        <v>3300</v>
      </c>
      <c r="H313">
        <v>1</v>
      </c>
      <c r="I313" s="2">
        <v>2.96</v>
      </c>
      <c r="J313" t="s">
        <v>316</v>
      </c>
      <c r="K313" t="s">
        <v>317</v>
      </c>
      <c r="L313" t="s">
        <v>40</v>
      </c>
      <c r="M313" t="s">
        <v>33</v>
      </c>
    </row>
    <row r="314" spans="2:13" ht="14.25" customHeight="1" x14ac:dyDescent="0.3">
      <c r="B314" s="3"/>
      <c r="C314" t="s">
        <v>19</v>
      </c>
      <c r="D314">
        <v>38.9</v>
      </c>
      <c r="E314">
        <v>4</v>
      </c>
      <c r="F314">
        <v>1.5</v>
      </c>
      <c r="G314">
        <v>4</v>
      </c>
      <c r="H314">
        <v>1</v>
      </c>
      <c r="I314" s="2">
        <v>0.75</v>
      </c>
      <c r="J314" t="s">
        <v>314</v>
      </c>
      <c r="K314" t="s">
        <v>315</v>
      </c>
      <c r="L314" t="s">
        <v>27</v>
      </c>
      <c r="M314" t="s">
        <v>23</v>
      </c>
    </row>
    <row r="315" spans="2:13" ht="14.25" customHeight="1" x14ac:dyDescent="0.3">
      <c r="B315" s="3"/>
      <c r="C315" t="s">
        <v>19</v>
      </c>
      <c r="D315">
        <v>38.9</v>
      </c>
      <c r="E315">
        <v>5</v>
      </c>
      <c r="F315">
        <v>10</v>
      </c>
      <c r="G315">
        <v>4</v>
      </c>
      <c r="H315">
        <v>1</v>
      </c>
      <c r="I315" s="2">
        <v>5</v>
      </c>
      <c r="J315" t="s">
        <v>314</v>
      </c>
      <c r="K315" t="s">
        <v>273</v>
      </c>
      <c r="L315" t="s">
        <v>89</v>
      </c>
      <c r="M315" t="s">
        <v>23</v>
      </c>
    </row>
    <row r="316" spans="2:13" ht="14.25" customHeight="1" x14ac:dyDescent="0.3">
      <c r="B316" s="3"/>
      <c r="C316" t="s">
        <v>19</v>
      </c>
      <c r="D316">
        <v>38.9</v>
      </c>
      <c r="E316">
        <v>6.5</v>
      </c>
      <c r="F316">
        <v>1</v>
      </c>
      <c r="G316">
        <v>4</v>
      </c>
      <c r="H316">
        <v>1</v>
      </c>
      <c r="I316" s="2">
        <v>0.5</v>
      </c>
      <c r="J316" t="s">
        <v>314</v>
      </c>
      <c r="K316" t="s">
        <v>315</v>
      </c>
      <c r="L316" t="s">
        <v>27</v>
      </c>
      <c r="M316" t="s">
        <v>23</v>
      </c>
    </row>
    <row r="317" spans="2:13" ht="14.25" customHeight="1" x14ac:dyDescent="0.3">
      <c r="B317" s="3"/>
      <c r="C317" t="s">
        <v>19</v>
      </c>
      <c r="D317">
        <v>38.9</v>
      </c>
      <c r="E317">
        <v>6.5</v>
      </c>
      <c r="F317">
        <v>2.5</v>
      </c>
      <c r="G317">
        <v>4</v>
      </c>
      <c r="H317">
        <v>1</v>
      </c>
      <c r="I317" s="2">
        <v>1.25</v>
      </c>
      <c r="J317" t="s">
        <v>314</v>
      </c>
      <c r="K317" t="s">
        <v>315</v>
      </c>
      <c r="L317" t="s">
        <v>27</v>
      </c>
      <c r="M317" t="s">
        <v>23</v>
      </c>
    </row>
    <row r="318" spans="2:13" ht="14.25" customHeight="1" x14ac:dyDescent="0.3">
      <c r="B318" s="3"/>
      <c r="C318" t="s">
        <v>24</v>
      </c>
      <c r="D318">
        <v>39</v>
      </c>
      <c r="E318">
        <v>10</v>
      </c>
      <c r="F318">
        <v>1</v>
      </c>
      <c r="G318">
        <v>342</v>
      </c>
      <c r="H318">
        <v>1</v>
      </c>
      <c r="I318" s="2">
        <v>0.66</v>
      </c>
      <c r="J318" t="s">
        <v>322</v>
      </c>
      <c r="K318" t="s">
        <v>323</v>
      </c>
      <c r="L318" t="s">
        <v>89</v>
      </c>
      <c r="M318" t="s">
        <v>324</v>
      </c>
    </row>
    <row r="319" spans="2:13" ht="14.25" customHeight="1" x14ac:dyDescent="0.3">
      <c r="B319" s="3"/>
      <c r="C319" t="s">
        <v>24</v>
      </c>
      <c r="D319">
        <v>39</v>
      </c>
      <c r="E319">
        <v>10</v>
      </c>
      <c r="F319">
        <v>1</v>
      </c>
      <c r="G319">
        <v>342</v>
      </c>
      <c r="H319">
        <v>1</v>
      </c>
      <c r="I319" s="2">
        <v>0.8</v>
      </c>
      <c r="J319" t="s">
        <v>322</v>
      </c>
      <c r="K319" t="s">
        <v>325</v>
      </c>
      <c r="L319" t="s">
        <v>27</v>
      </c>
      <c r="M319" t="s">
        <v>324</v>
      </c>
    </row>
    <row r="320" spans="2:13" ht="14.25" customHeight="1" x14ac:dyDescent="0.3">
      <c r="B320" s="3"/>
      <c r="C320" t="s">
        <v>257</v>
      </c>
      <c r="D320">
        <v>39</v>
      </c>
      <c r="E320">
        <v>23</v>
      </c>
      <c r="F320">
        <v>2.5</v>
      </c>
      <c r="G320">
        <v>48</v>
      </c>
      <c r="H320">
        <v>1</v>
      </c>
      <c r="I320" s="2">
        <v>1.04</v>
      </c>
      <c r="J320" t="s">
        <v>326</v>
      </c>
      <c r="K320" t="s">
        <v>327</v>
      </c>
      <c r="L320" t="s">
        <v>89</v>
      </c>
      <c r="M320" t="s">
        <v>23</v>
      </c>
    </row>
    <row r="321" spans="2:13" ht="14.25" customHeight="1" x14ac:dyDescent="0.3">
      <c r="B321" s="3"/>
      <c r="C321" t="s">
        <v>257</v>
      </c>
      <c r="D321">
        <v>39</v>
      </c>
      <c r="E321">
        <v>23</v>
      </c>
      <c r="F321">
        <v>5</v>
      </c>
      <c r="G321">
        <v>12</v>
      </c>
      <c r="H321">
        <v>1</v>
      </c>
      <c r="I321" s="2">
        <v>15</v>
      </c>
      <c r="J321" t="s">
        <v>328</v>
      </c>
      <c r="K321" t="s">
        <v>329</v>
      </c>
      <c r="L321" t="s">
        <v>22</v>
      </c>
      <c r="M321" t="s">
        <v>33</v>
      </c>
    </row>
    <row r="322" spans="2:13" ht="14.25" customHeight="1" x14ac:dyDescent="0.3">
      <c r="B322" s="3"/>
      <c r="C322" t="s">
        <v>257</v>
      </c>
      <c r="D322">
        <v>39</v>
      </c>
      <c r="E322">
        <v>23</v>
      </c>
      <c r="F322">
        <v>5</v>
      </c>
      <c r="G322">
        <v>24</v>
      </c>
      <c r="H322">
        <v>1</v>
      </c>
      <c r="I322" s="2">
        <v>1.92</v>
      </c>
      <c r="J322" t="s">
        <v>330</v>
      </c>
      <c r="K322" t="s">
        <v>327</v>
      </c>
      <c r="L322" t="s">
        <v>89</v>
      </c>
      <c r="M322" t="s">
        <v>23</v>
      </c>
    </row>
    <row r="323" spans="2:13" ht="14.25" customHeight="1" x14ac:dyDescent="0.3">
      <c r="B323" s="3"/>
      <c r="C323" t="s">
        <v>120</v>
      </c>
      <c r="D323">
        <v>39</v>
      </c>
      <c r="E323">
        <v>33.799999999999997</v>
      </c>
      <c r="F323">
        <v>5</v>
      </c>
      <c r="G323">
        <v>1</v>
      </c>
      <c r="H323">
        <v>1</v>
      </c>
      <c r="I323" s="2">
        <v>1.1399999999999999</v>
      </c>
      <c r="J323" t="s">
        <v>331</v>
      </c>
      <c r="K323" t="s">
        <v>332</v>
      </c>
      <c r="L323" t="s">
        <v>32</v>
      </c>
      <c r="M323" t="s">
        <v>51</v>
      </c>
    </row>
    <row r="324" spans="2:13" ht="14.25" customHeight="1" x14ac:dyDescent="0.3">
      <c r="B324" s="3"/>
      <c r="C324" t="s">
        <v>120</v>
      </c>
      <c r="D324">
        <v>39</v>
      </c>
      <c r="E324">
        <v>33.799999999999997</v>
      </c>
      <c r="F324">
        <v>5</v>
      </c>
      <c r="G324">
        <v>1</v>
      </c>
      <c r="H324">
        <v>1</v>
      </c>
      <c r="I324" s="2">
        <v>2.64</v>
      </c>
      <c r="J324" t="s">
        <v>331</v>
      </c>
      <c r="K324" t="s">
        <v>333</v>
      </c>
      <c r="L324" t="s">
        <v>22</v>
      </c>
      <c r="M324" t="s">
        <v>33</v>
      </c>
    </row>
    <row r="325" spans="2:13" ht="14.25" customHeight="1" x14ac:dyDescent="0.3">
      <c r="B325" s="3"/>
      <c r="C325" t="s">
        <v>120</v>
      </c>
      <c r="D325">
        <v>39</v>
      </c>
      <c r="E325">
        <v>33.799999999999997</v>
      </c>
      <c r="F325">
        <v>5</v>
      </c>
      <c r="G325">
        <v>1</v>
      </c>
      <c r="H325">
        <v>1</v>
      </c>
      <c r="I325" s="2">
        <v>8.4</v>
      </c>
      <c r="J325" t="s">
        <v>331</v>
      </c>
      <c r="K325" t="s">
        <v>273</v>
      </c>
      <c r="L325" t="s">
        <v>89</v>
      </c>
      <c r="M325" t="s">
        <v>33</v>
      </c>
    </row>
    <row r="326" spans="2:13" ht="14.25" customHeight="1" x14ac:dyDescent="0.3">
      <c r="B326" s="3"/>
      <c r="C326" t="s">
        <v>334</v>
      </c>
      <c r="D326">
        <v>39.6</v>
      </c>
      <c r="E326">
        <v>18.899999999999999</v>
      </c>
      <c r="F326">
        <v>2</v>
      </c>
      <c r="G326">
        <v>12</v>
      </c>
      <c r="H326">
        <v>1</v>
      </c>
      <c r="I326" s="2">
        <v>0.78</v>
      </c>
      <c r="J326" t="s">
        <v>335</v>
      </c>
      <c r="K326" t="s">
        <v>336</v>
      </c>
      <c r="L326" t="s">
        <v>22</v>
      </c>
      <c r="M326" t="s">
        <v>23</v>
      </c>
    </row>
    <row r="327" spans="2:13" ht="14.25" customHeight="1" x14ac:dyDescent="0.3">
      <c r="B327" s="3"/>
      <c r="C327" t="s">
        <v>334</v>
      </c>
      <c r="D327">
        <v>39.6</v>
      </c>
      <c r="E327">
        <v>18.899999999999999</v>
      </c>
      <c r="F327">
        <v>2</v>
      </c>
      <c r="G327">
        <v>12</v>
      </c>
      <c r="H327">
        <v>1</v>
      </c>
      <c r="I327" s="2">
        <v>1.1000000000000001</v>
      </c>
      <c r="J327" t="s">
        <v>335</v>
      </c>
      <c r="K327" t="s">
        <v>273</v>
      </c>
      <c r="L327" t="s">
        <v>89</v>
      </c>
      <c r="M327" t="s">
        <v>23</v>
      </c>
    </row>
    <row r="328" spans="2:13" ht="14.25" customHeight="1" x14ac:dyDescent="0.3">
      <c r="B328" s="3"/>
      <c r="C328" t="s">
        <v>334</v>
      </c>
      <c r="D328">
        <v>39.6</v>
      </c>
      <c r="E328">
        <v>18.899999999999999</v>
      </c>
      <c r="F328">
        <v>2</v>
      </c>
      <c r="G328">
        <v>12</v>
      </c>
      <c r="H328">
        <v>1</v>
      </c>
      <c r="I328" s="2">
        <v>1.21</v>
      </c>
      <c r="J328" t="s">
        <v>335</v>
      </c>
      <c r="K328" t="s">
        <v>337</v>
      </c>
      <c r="L328" t="s">
        <v>27</v>
      </c>
      <c r="M328" t="s">
        <v>23</v>
      </c>
    </row>
    <row r="329" spans="2:13" ht="14.25" customHeight="1" x14ac:dyDescent="0.3">
      <c r="B329" s="3"/>
      <c r="C329" t="s">
        <v>120</v>
      </c>
      <c r="D329">
        <v>40</v>
      </c>
      <c r="E329">
        <v>5.5</v>
      </c>
      <c r="F329">
        <v>1</v>
      </c>
      <c r="G329">
        <v>1</v>
      </c>
      <c r="H329">
        <v>1</v>
      </c>
      <c r="I329" s="2">
        <v>0.1</v>
      </c>
      <c r="J329" t="s">
        <v>121</v>
      </c>
      <c r="K329" t="s">
        <v>337</v>
      </c>
      <c r="L329" t="s">
        <v>27</v>
      </c>
      <c r="M329" t="s">
        <v>23</v>
      </c>
    </row>
    <row r="330" spans="2:13" ht="14.25" customHeight="1" x14ac:dyDescent="0.3">
      <c r="B330" s="3"/>
      <c r="C330" t="s">
        <v>202</v>
      </c>
      <c r="D330">
        <v>40</v>
      </c>
      <c r="E330">
        <v>11.9</v>
      </c>
      <c r="F330">
        <v>4</v>
      </c>
      <c r="G330">
        <v>18</v>
      </c>
      <c r="H330">
        <v>1</v>
      </c>
      <c r="I330" s="2">
        <v>2.6</v>
      </c>
      <c r="J330" t="s">
        <v>172</v>
      </c>
      <c r="K330" t="s">
        <v>273</v>
      </c>
      <c r="L330" t="s">
        <v>89</v>
      </c>
      <c r="M330" t="s">
        <v>23</v>
      </c>
    </row>
    <row r="331" spans="2:13" ht="14.25" customHeight="1" x14ac:dyDescent="0.3">
      <c r="B331" s="3"/>
      <c r="C331" t="s">
        <v>241</v>
      </c>
      <c r="D331">
        <v>40</v>
      </c>
      <c r="E331">
        <v>25.1</v>
      </c>
      <c r="F331">
        <v>4</v>
      </c>
      <c r="G331">
        <v>8</v>
      </c>
      <c r="H331">
        <v>1</v>
      </c>
      <c r="I331" s="2">
        <v>2.73</v>
      </c>
      <c r="J331" t="s">
        <v>3</v>
      </c>
      <c r="K331" t="s">
        <v>273</v>
      </c>
      <c r="L331" t="s">
        <v>89</v>
      </c>
      <c r="M331" t="s">
        <v>23</v>
      </c>
    </row>
    <row r="332" spans="2:13" ht="14.25" customHeight="1" x14ac:dyDescent="0.3">
      <c r="B332" s="3"/>
      <c r="C332" t="s">
        <v>202</v>
      </c>
      <c r="D332">
        <v>40</v>
      </c>
      <c r="E332">
        <v>37.9</v>
      </c>
      <c r="F332">
        <v>1</v>
      </c>
      <c r="G332">
        <v>18</v>
      </c>
      <c r="H332">
        <v>1</v>
      </c>
      <c r="I332" s="2">
        <v>1.8</v>
      </c>
      <c r="J332" t="s">
        <v>172</v>
      </c>
      <c r="K332" t="s">
        <v>273</v>
      </c>
      <c r="L332" t="s">
        <v>89</v>
      </c>
      <c r="M332" t="s">
        <v>23</v>
      </c>
    </row>
    <row r="333" spans="2:13" ht="14.25" customHeight="1" x14ac:dyDescent="0.3">
      <c r="B333" s="3"/>
      <c r="C333" t="s">
        <v>19</v>
      </c>
      <c r="D333">
        <v>40.5</v>
      </c>
      <c r="E333">
        <v>37.5</v>
      </c>
      <c r="F333">
        <v>1</v>
      </c>
      <c r="G333">
        <v>8</v>
      </c>
      <c r="H333">
        <v>1</v>
      </c>
      <c r="I333" s="2">
        <v>2</v>
      </c>
      <c r="J333" t="s">
        <v>314</v>
      </c>
      <c r="K333" t="s">
        <v>315</v>
      </c>
      <c r="L333" t="s">
        <v>27</v>
      </c>
      <c r="M333" t="s">
        <v>23</v>
      </c>
    </row>
    <row r="334" spans="2:13" ht="14.25" customHeight="1" x14ac:dyDescent="0.3">
      <c r="B334" s="3"/>
      <c r="C334" t="s">
        <v>19</v>
      </c>
      <c r="D334">
        <v>40.5</v>
      </c>
      <c r="E334">
        <v>38.9</v>
      </c>
      <c r="F334">
        <v>1</v>
      </c>
      <c r="G334">
        <v>4</v>
      </c>
      <c r="H334">
        <v>1</v>
      </c>
      <c r="I334" s="2">
        <v>2</v>
      </c>
      <c r="J334" t="s">
        <v>314</v>
      </c>
      <c r="K334" t="s">
        <v>315</v>
      </c>
      <c r="L334" t="s">
        <v>27</v>
      </c>
      <c r="M334" t="s">
        <v>23</v>
      </c>
    </row>
    <row r="335" spans="2:13" ht="14.25" customHeight="1" x14ac:dyDescent="0.3">
      <c r="B335" s="3"/>
      <c r="C335" t="s">
        <v>19</v>
      </c>
      <c r="D335">
        <v>40.9</v>
      </c>
      <c r="E335">
        <v>37.5</v>
      </c>
      <c r="F335">
        <v>1</v>
      </c>
      <c r="G335">
        <v>4</v>
      </c>
      <c r="H335">
        <v>1</v>
      </c>
      <c r="I335" s="2">
        <v>2</v>
      </c>
      <c r="J335" t="s">
        <v>314</v>
      </c>
      <c r="K335" t="s">
        <v>315</v>
      </c>
      <c r="L335" t="s">
        <v>27</v>
      </c>
      <c r="M335" t="s">
        <v>23</v>
      </c>
    </row>
    <row r="336" spans="2:13" ht="14.25" customHeight="1" x14ac:dyDescent="0.3">
      <c r="B336" s="3"/>
      <c r="C336" t="s">
        <v>124</v>
      </c>
      <c r="D336">
        <v>41.5</v>
      </c>
      <c r="E336">
        <v>15</v>
      </c>
      <c r="F336">
        <v>2</v>
      </c>
      <c r="G336">
        <v>24</v>
      </c>
      <c r="H336">
        <v>1</v>
      </c>
      <c r="I336" s="2">
        <v>2.25</v>
      </c>
      <c r="J336" t="s">
        <v>338</v>
      </c>
      <c r="K336" t="s">
        <v>339</v>
      </c>
      <c r="L336" t="s">
        <v>22</v>
      </c>
      <c r="M336" t="s">
        <v>23</v>
      </c>
    </row>
    <row r="337" spans="2:13" ht="14.25" customHeight="1" x14ac:dyDescent="0.3">
      <c r="B337" s="3"/>
      <c r="C337" t="s">
        <v>124</v>
      </c>
      <c r="D337">
        <v>41.5</v>
      </c>
      <c r="E337">
        <v>15</v>
      </c>
      <c r="F337">
        <v>2</v>
      </c>
      <c r="G337">
        <v>24</v>
      </c>
      <c r="H337">
        <v>1</v>
      </c>
      <c r="I337" s="2">
        <v>3.9</v>
      </c>
      <c r="J337" t="s">
        <v>338</v>
      </c>
      <c r="K337" t="s">
        <v>340</v>
      </c>
      <c r="L337" t="s">
        <v>22</v>
      </c>
      <c r="M337" t="s">
        <v>33</v>
      </c>
    </row>
    <row r="338" spans="2:13" ht="14.25" customHeight="1" x14ac:dyDescent="0.3">
      <c r="B338" s="3"/>
      <c r="C338" t="s">
        <v>341</v>
      </c>
      <c r="D338">
        <v>42</v>
      </c>
      <c r="E338">
        <v>29</v>
      </c>
      <c r="F338">
        <v>7</v>
      </c>
      <c r="G338">
        <v>50</v>
      </c>
      <c r="H338">
        <v>1</v>
      </c>
      <c r="I338" s="2">
        <v>3.46</v>
      </c>
      <c r="J338" t="s">
        <v>342</v>
      </c>
      <c r="K338" t="s">
        <v>343</v>
      </c>
      <c r="L338" t="s">
        <v>89</v>
      </c>
      <c r="M338" t="s">
        <v>33</v>
      </c>
    </row>
    <row r="339" spans="2:13" ht="14.25" customHeight="1" x14ac:dyDescent="0.3">
      <c r="B339" s="3"/>
      <c r="C339" t="s">
        <v>241</v>
      </c>
      <c r="D339">
        <v>42.1</v>
      </c>
      <c r="E339">
        <v>35.1</v>
      </c>
      <c r="F339">
        <v>2</v>
      </c>
      <c r="G339">
        <v>4</v>
      </c>
      <c r="H339">
        <v>1</v>
      </c>
      <c r="I339" s="2">
        <v>2.72</v>
      </c>
      <c r="J339" t="s">
        <v>3</v>
      </c>
      <c r="K339" t="s">
        <v>273</v>
      </c>
      <c r="L339" t="s">
        <v>89</v>
      </c>
      <c r="M339" t="s">
        <v>23</v>
      </c>
    </row>
    <row r="340" spans="2:13" ht="14.25" customHeight="1" x14ac:dyDescent="0.3">
      <c r="B340" s="3"/>
      <c r="C340" t="s">
        <v>241</v>
      </c>
      <c r="D340">
        <v>42.1</v>
      </c>
      <c r="E340">
        <v>40</v>
      </c>
      <c r="F340">
        <v>4</v>
      </c>
      <c r="G340">
        <v>8</v>
      </c>
      <c r="H340">
        <v>1</v>
      </c>
      <c r="I340" s="2">
        <v>5.44</v>
      </c>
      <c r="J340" t="s">
        <v>3</v>
      </c>
      <c r="K340" t="s">
        <v>273</v>
      </c>
      <c r="L340" t="s">
        <v>89</v>
      </c>
      <c r="M340" t="s">
        <v>23</v>
      </c>
    </row>
    <row r="341" spans="2:13" ht="14.25" customHeight="1" x14ac:dyDescent="0.3">
      <c r="B341" s="3"/>
      <c r="C341" t="s">
        <v>344</v>
      </c>
      <c r="D341">
        <v>42.3</v>
      </c>
      <c r="E341">
        <v>5</v>
      </c>
      <c r="F341">
        <v>1</v>
      </c>
      <c r="G341">
        <v>4</v>
      </c>
      <c r="H341">
        <v>1</v>
      </c>
      <c r="I341" s="2">
        <v>0.4</v>
      </c>
      <c r="J341" t="s">
        <v>345</v>
      </c>
      <c r="K341" t="s">
        <v>273</v>
      </c>
      <c r="L341" t="s">
        <v>89</v>
      </c>
      <c r="M341" t="s">
        <v>23</v>
      </c>
    </row>
    <row r="342" spans="2:13" ht="14.25" customHeight="1" x14ac:dyDescent="0.3">
      <c r="B342" s="3"/>
      <c r="C342" t="s">
        <v>120</v>
      </c>
      <c r="D342">
        <v>42.4</v>
      </c>
      <c r="E342">
        <v>9</v>
      </c>
      <c r="F342" t="s">
        <v>160</v>
      </c>
      <c r="G342">
        <v>6</v>
      </c>
      <c r="H342">
        <v>1</v>
      </c>
      <c r="I342" s="2">
        <v>0.6</v>
      </c>
      <c r="J342" t="s">
        <v>314</v>
      </c>
      <c r="K342" t="s">
        <v>346</v>
      </c>
      <c r="L342" t="s">
        <v>27</v>
      </c>
      <c r="M342" t="s">
        <v>23</v>
      </c>
    </row>
    <row r="343" spans="2:13" ht="14.25" customHeight="1" x14ac:dyDescent="0.3">
      <c r="B343" s="3"/>
      <c r="C343" t="s">
        <v>120</v>
      </c>
      <c r="D343">
        <v>42.4</v>
      </c>
      <c r="E343">
        <v>10</v>
      </c>
      <c r="F343" t="s">
        <v>160</v>
      </c>
      <c r="G343">
        <v>6</v>
      </c>
      <c r="H343">
        <v>1</v>
      </c>
      <c r="I343" s="2">
        <v>0.6</v>
      </c>
      <c r="J343" t="s">
        <v>314</v>
      </c>
      <c r="K343" t="s">
        <v>346</v>
      </c>
      <c r="L343" t="s">
        <v>27</v>
      </c>
      <c r="M343" t="s">
        <v>23</v>
      </c>
    </row>
    <row r="344" spans="2:13" ht="14.25" customHeight="1" x14ac:dyDescent="0.3">
      <c r="B344" s="3"/>
      <c r="C344" t="s">
        <v>120</v>
      </c>
      <c r="D344">
        <v>42.4</v>
      </c>
      <c r="E344">
        <v>9</v>
      </c>
      <c r="F344">
        <v>4</v>
      </c>
      <c r="G344">
        <v>6</v>
      </c>
      <c r="H344">
        <v>1</v>
      </c>
      <c r="I344" s="2">
        <v>2</v>
      </c>
      <c r="J344" t="s">
        <v>314</v>
      </c>
      <c r="K344" t="s">
        <v>273</v>
      </c>
      <c r="L344" t="s">
        <v>89</v>
      </c>
      <c r="M344" t="s">
        <v>23</v>
      </c>
    </row>
    <row r="345" spans="2:13" ht="14.25" customHeight="1" x14ac:dyDescent="0.3">
      <c r="B345" s="3"/>
      <c r="C345" t="s">
        <v>347</v>
      </c>
      <c r="D345">
        <v>42.6</v>
      </c>
      <c r="E345">
        <v>29</v>
      </c>
      <c r="F345">
        <v>4.5</v>
      </c>
      <c r="G345">
        <v>24</v>
      </c>
      <c r="H345">
        <v>1</v>
      </c>
      <c r="I345" s="2">
        <v>5.28</v>
      </c>
      <c r="J345" t="s">
        <v>348</v>
      </c>
      <c r="K345" t="s">
        <v>349</v>
      </c>
      <c r="L345" t="s">
        <v>40</v>
      </c>
      <c r="M345" t="s">
        <v>33</v>
      </c>
    </row>
    <row r="346" spans="2:13" ht="14.25" customHeight="1" x14ac:dyDescent="0.3">
      <c r="B346" s="3"/>
      <c r="C346" t="s">
        <v>347</v>
      </c>
      <c r="D346">
        <v>42.6</v>
      </c>
      <c r="E346">
        <v>29</v>
      </c>
      <c r="F346">
        <v>4.5</v>
      </c>
      <c r="G346">
        <v>26</v>
      </c>
      <c r="H346">
        <v>1</v>
      </c>
      <c r="I346" s="2">
        <v>6.5</v>
      </c>
      <c r="J346" t="s">
        <v>350</v>
      </c>
      <c r="K346" t="s">
        <v>349</v>
      </c>
      <c r="L346" t="s">
        <v>40</v>
      </c>
      <c r="M346" t="s">
        <v>33</v>
      </c>
    </row>
    <row r="347" spans="2:13" ht="14.25" customHeight="1" x14ac:dyDescent="0.3">
      <c r="B347" s="3"/>
      <c r="C347" t="s">
        <v>347</v>
      </c>
      <c r="D347">
        <v>42.6</v>
      </c>
      <c r="E347">
        <v>29</v>
      </c>
      <c r="F347">
        <v>4.5</v>
      </c>
      <c r="G347">
        <v>48</v>
      </c>
      <c r="H347">
        <v>1</v>
      </c>
      <c r="I347" s="2">
        <v>5.05</v>
      </c>
      <c r="J347" t="s">
        <v>351</v>
      </c>
      <c r="K347" t="s">
        <v>349</v>
      </c>
      <c r="L347" t="s">
        <v>40</v>
      </c>
      <c r="M347" t="s">
        <v>33</v>
      </c>
    </row>
    <row r="348" spans="2:13" ht="14.25" customHeight="1" x14ac:dyDescent="0.3">
      <c r="B348" s="3"/>
      <c r="C348" t="s">
        <v>347</v>
      </c>
      <c r="D348">
        <v>42.6</v>
      </c>
      <c r="E348">
        <v>29</v>
      </c>
      <c r="F348">
        <v>4.5</v>
      </c>
      <c r="G348">
        <v>52</v>
      </c>
      <c r="H348">
        <v>1</v>
      </c>
      <c r="I348" s="2">
        <v>5.05</v>
      </c>
      <c r="J348" t="s">
        <v>351</v>
      </c>
      <c r="K348" t="s">
        <v>349</v>
      </c>
      <c r="L348" t="s">
        <v>40</v>
      </c>
      <c r="M348" t="s">
        <v>33</v>
      </c>
    </row>
    <row r="349" spans="2:13" ht="14.25" customHeight="1" x14ac:dyDescent="0.3">
      <c r="B349" s="3"/>
      <c r="C349" t="s">
        <v>276</v>
      </c>
      <c r="D349">
        <v>42.8</v>
      </c>
      <c r="E349">
        <v>28.6</v>
      </c>
      <c r="F349">
        <v>4.5999999999999996</v>
      </c>
      <c r="G349">
        <v>18851</v>
      </c>
      <c r="H349">
        <v>1</v>
      </c>
      <c r="I349" s="2">
        <v>1.35</v>
      </c>
      <c r="J349" t="s">
        <v>277</v>
      </c>
      <c r="K349" t="s">
        <v>352</v>
      </c>
      <c r="L349" t="s">
        <v>32</v>
      </c>
      <c r="M349" t="s">
        <v>33</v>
      </c>
    </row>
    <row r="350" spans="2:13" ht="14.25" customHeight="1" x14ac:dyDescent="0.3">
      <c r="B350" s="3"/>
      <c r="C350" t="s">
        <v>276</v>
      </c>
      <c r="D350">
        <v>42.8</v>
      </c>
      <c r="E350">
        <v>28.6</v>
      </c>
      <c r="F350">
        <v>1</v>
      </c>
      <c r="G350">
        <v>18851</v>
      </c>
      <c r="H350">
        <v>1</v>
      </c>
      <c r="I350" s="2">
        <v>0.32400000000000001</v>
      </c>
      <c r="J350" t="s">
        <v>277</v>
      </c>
      <c r="K350" t="s">
        <v>353</v>
      </c>
      <c r="L350" t="s">
        <v>22</v>
      </c>
      <c r="M350" t="s">
        <v>33</v>
      </c>
    </row>
    <row r="351" spans="2:13" ht="14.25" customHeight="1" x14ac:dyDescent="0.3">
      <c r="B351" s="3"/>
      <c r="C351" t="s">
        <v>276</v>
      </c>
      <c r="D351">
        <v>42.8</v>
      </c>
      <c r="E351">
        <v>28.6</v>
      </c>
      <c r="F351">
        <v>1</v>
      </c>
      <c r="G351">
        <v>18851</v>
      </c>
      <c r="H351">
        <v>1</v>
      </c>
      <c r="I351" s="2">
        <v>0.46</v>
      </c>
      <c r="J351" t="s">
        <v>279</v>
      </c>
      <c r="K351" t="s">
        <v>353</v>
      </c>
      <c r="L351" t="s">
        <v>22</v>
      </c>
      <c r="M351" t="s">
        <v>23</v>
      </c>
    </row>
    <row r="352" spans="2:13" ht="14.25" customHeight="1" x14ac:dyDescent="0.3">
      <c r="B352" s="3"/>
      <c r="C352" t="s">
        <v>19</v>
      </c>
      <c r="D352">
        <v>43</v>
      </c>
      <c r="E352">
        <v>5</v>
      </c>
      <c r="F352">
        <v>1</v>
      </c>
      <c r="G352">
        <v>2</v>
      </c>
      <c r="H352">
        <v>1</v>
      </c>
      <c r="I352" s="2">
        <v>1.5</v>
      </c>
      <c r="J352" t="s">
        <v>354</v>
      </c>
      <c r="K352" t="s">
        <v>355</v>
      </c>
      <c r="L352" t="s">
        <v>89</v>
      </c>
      <c r="M352" t="s">
        <v>23</v>
      </c>
    </row>
    <row r="353" spans="2:13" ht="14.25" customHeight="1" x14ac:dyDescent="0.3">
      <c r="B353" s="3"/>
      <c r="C353" t="s">
        <v>120</v>
      </c>
      <c r="D353">
        <v>43</v>
      </c>
      <c r="E353">
        <v>11.1</v>
      </c>
      <c r="F353">
        <v>1</v>
      </c>
      <c r="G353">
        <v>2</v>
      </c>
      <c r="H353">
        <v>1</v>
      </c>
      <c r="I353" s="2">
        <v>0.5</v>
      </c>
      <c r="J353" t="s">
        <v>174</v>
      </c>
      <c r="K353" t="s">
        <v>173</v>
      </c>
      <c r="L353" t="s">
        <v>89</v>
      </c>
      <c r="M353" t="s">
        <v>23</v>
      </c>
    </row>
    <row r="354" spans="2:13" ht="14.25" customHeight="1" x14ac:dyDescent="0.3">
      <c r="B354" s="3"/>
      <c r="C354" t="s">
        <v>19</v>
      </c>
      <c r="D354">
        <v>43</v>
      </c>
      <c r="E354">
        <v>22</v>
      </c>
      <c r="F354">
        <v>1</v>
      </c>
      <c r="G354">
        <v>2</v>
      </c>
      <c r="H354">
        <v>1</v>
      </c>
      <c r="I354" s="2">
        <v>5</v>
      </c>
      <c r="J354" t="s">
        <v>354</v>
      </c>
      <c r="K354" t="s">
        <v>355</v>
      </c>
      <c r="L354" t="s">
        <v>89</v>
      </c>
      <c r="M354" t="s">
        <v>23</v>
      </c>
    </row>
    <row r="355" spans="2:13" ht="14.25" customHeight="1" x14ac:dyDescent="0.3">
      <c r="B355" s="3"/>
      <c r="C355" t="s">
        <v>120</v>
      </c>
      <c r="D355">
        <v>43</v>
      </c>
      <c r="E355">
        <v>29</v>
      </c>
      <c r="F355">
        <v>5</v>
      </c>
      <c r="G355">
        <v>5</v>
      </c>
      <c r="H355">
        <v>1</v>
      </c>
      <c r="I355" s="2">
        <v>1.1200000000000001</v>
      </c>
      <c r="J355" t="s">
        <v>356</v>
      </c>
      <c r="K355" t="s">
        <v>212</v>
      </c>
      <c r="L355" t="s">
        <v>32</v>
      </c>
      <c r="M355" t="s">
        <v>51</v>
      </c>
    </row>
    <row r="356" spans="2:13" ht="14.25" customHeight="1" x14ac:dyDescent="0.3">
      <c r="B356" s="3"/>
      <c r="C356" t="s">
        <v>241</v>
      </c>
      <c r="D356">
        <v>43</v>
      </c>
      <c r="E356">
        <v>35.200000000000003</v>
      </c>
      <c r="F356">
        <v>8.6</v>
      </c>
      <c r="G356">
        <v>6</v>
      </c>
      <c r="H356">
        <v>1</v>
      </c>
      <c r="I356" s="2">
        <v>13.6</v>
      </c>
      <c r="J356" t="s">
        <v>3</v>
      </c>
      <c r="K356" t="s">
        <v>273</v>
      </c>
      <c r="L356" t="s">
        <v>89</v>
      </c>
      <c r="M356" t="s">
        <v>23</v>
      </c>
    </row>
    <row r="357" spans="2:13" ht="14.25" customHeight="1" x14ac:dyDescent="0.3">
      <c r="B357" s="3"/>
      <c r="C357" t="s">
        <v>357</v>
      </c>
      <c r="D357">
        <v>43.8</v>
      </c>
      <c r="E357">
        <v>15.1</v>
      </c>
      <c r="F357">
        <v>4</v>
      </c>
      <c r="G357">
        <v>1</v>
      </c>
      <c r="H357">
        <v>1</v>
      </c>
      <c r="I357" s="2">
        <v>0.45600000000000002</v>
      </c>
      <c r="J357" t="s">
        <v>358</v>
      </c>
      <c r="K357" t="s">
        <v>359</v>
      </c>
      <c r="L357" t="s">
        <v>32</v>
      </c>
      <c r="M357" t="s">
        <v>51</v>
      </c>
    </row>
    <row r="358" spans="2:13" ht="14.25" customHeight="1" x14ac:dyDescent="0.3">
      <c r="B358" s="3"/>
      <c r="C358" t="s">
        <v>357</v>
      </c>
      <c r="D358">
        <v>43.8</v>
      </c>
      <c r="E358">
        <v>18.8</v>
      </c>
      <c r="F358">
        <v>4</v>
      </c>
      <c r="G358">
        <v>1</v>
      </c>
      <c r="H358">
        <v>1</v>
      </c>
      <c r="I358" s="2">
        <v>0.56799999999999995</v>
      </c>
      <c r="J358" t="s">
        <v>358</v>
      </c>
      <c r="K358" t="s">
        <v>359</v>
      </c>
      <c r="L358" t="s">
        <v>32</v>
      </c>
      <c r="M358" t="s">
        <v>51</v>
      </c>
    </row>
    <row r="359" spans="2:13" ht="14.25" customHeight="1" x14ac:dyDescent="0.3">
      <c r="B359" s="3"/>
      <c r="C359" t="s">
        <v>360</v>
      </c>
      <c r="D359">
        <v>43.8</v>
      </c>
      <c r="E359">
        <v>26.9</v>
      </c>
      <c r="F359">
        <v>1.3</v>
      </c>
      <c r="G359">
        <v>1</v>
      </c>
      <c r="H359">
        <v>1</v>
      </c>
      <c r="I359" s="2">
        <v>0.2641</v>
      </c>
      <c r="J359" t="s">
        <v>361</v>
      </c>
      <c r="K359" t="s">
        <v>362</v>
      </c>
      <c r="L359" t="s">
        <v>32</v>
      </c>
      <c r="M359" t="s">
        <v>51</v>
      </c>
    </row>
    <row r="360" spans="2:13" ht="14.25" customHeight="1" x14ac:dyDescent="0.3">
      <c r="B360" s="3"/>
      <c r="C360" t="s">
        <v>360</v>
      </c>
      <c r="D360">
        <v>43.8</v>
      </c>
      <c r="E360">
        <v>29</v>
      </c>
      <c r="F360">
        <v>7</v>
      </c>
      <c r="G360">
        <v>1</v>
      </c>
      <c r="H360">
        <v>1</v>
      </c>
      <c r="I360" s="2">
        <v>1.5328999999999999</v>
      </c>
      <c r="J360" t="s">
        <v>361</v>
      </c>
      <c r="K360" t="s">
        <v>362</v>
      </c>
      <c r="L360" t="s">
        <v>32</v>
      </c>
      <c r="M360" t="s">
        <v>51</v>
      </c>
    </row>
    <row r="361" spans="2:13" ht="14.25" customHeight="1" x14ac:dyDescent="0.3">
      <c r="B361" s="3"/>
      <c r="C361" t="s">
        <v>363</v>
      </c>
      <c r="D361">
        <v>44.3</v>
      </c>
      <c r="E361">
        <v>32.200000000000003</v>
      </c>
      <c r="F361">
        <v>20</v>
      </c>
      <c r="G361">
        <v>5</v>
      </c>
      <c r="H361">
        <v>1</v>
      </c>
      <c r="I361" s="2">
        <v>30</v>
      </c>
      <c r="J361" t="s">
        <v>25</v>
      </c>
      <c r="K361" t="s">
        <v>364</v>
      </c>
      <c r="L361" t="s">
        <v>89</v>
      </c>
      <c r="M361" t="s">
        <v>365</v>
      </c>
    </row>
    <row r="362" spans="2:13" ht="14.25" customHeight="1" x14ac:dyDescent="0.3">
      <c r="B362" s="3"/>
      <c r="C362" t="s">
        <v>363</v>
      </c>
      <c r="D362">
        <v>44.3</v>
      </c>
      <c r="E362">
        <v>32.200000000000003</v>
      </c>
      <c r="F362">
        <v>20</v>
      </c>
      <c r="G362">
        <v>50</v>
      </c>
      <c r="H362">
        <v>1</v>
      </c>
      <c r="I362" s="2">
        <f>8+60/5</f>
        <v>20</v>
      </c>
      <c r="J362" t="s">
        <v>366</v>
      </c>
      <c r="K362" t="s">
        <v>367</v>
      </c>
      <c r="L362" t="s">
        <v>89</v>
      </c>
      <c r="M362" t="s">
        <v>33</v>
      </c>
    </row>
    <row r="363" spans="2:13" ht="14.25" customHeight="1" x14ac:dyDescent="0.3">
      <c r="B363" s="3"/>
      <c r="C363" t="s">
        <v>120</v>
      </c>
      <c r="D363">
        <v>44.4</v>
      </c>
      <c r="E363">
        <v>7</v>
      </c>
      <c r="F363">
        <v>1</v>
      </c>
      <c r="G363">
        <v>12</v>
      </c>
      <c r="H363">
        <v>1</v>
      </c>
      <c r="I363" s="2">
        <v>0.5</v>
      </c>
      <c r="J363" t="s">
        <v>314</v>
      </c>
      <c r="K363" t="s">
        <v>273</v>
      </c>
      <c r="L363" t="s">
        <v>89</v>
      </c>
      <c r="M363" t="s">
        <v>23</v>
      </c>
    </row>
    <row r="364" spans="2:13" ht="14.25" customHeight="1" x14ac:dyDescent="0.3">
      <c r="B364" s="3"/>
      <c r="C364" t="s">
        <v>341</v>
      </c>
      <c r="D364">
        <v>44.5</v>
      </c>
      <c r="E364">
        <v>30.5</v>
      </c>
      <c r="F364">
        <v>3</v>
      </c>
      <c r="G364">
        <v>50</v>
      </c>
      <c r="H364">
        <v>1</v>
      </c>
      <c r="I364" s="2">
        <f>2.64</f>
        <v>2.64</v>
      </c>
      <c r="J364" t="s">
        <v>342</v>
      </c>
      <c r="K364" t="s">
        <v>368</v>
      </c>
      <c r="L364" t="s">
        <v>89</v>
      </c>
      <c r="M364" t="s">
        <v>33</v>
      </c>
    </row>
    <row r="365" spans="2:13" ht="14.25" customHeight="1" x14ac:dyDescent="0.3">
      <c r="B365" s="3"/>
      <c r="C365" t="s">
        <v>248</v>
      </c>
      <c r="D365">
        <v>45</v>
      </c>
      <c r="E365">
        <v>25</v>
      </c>
      <c r="F365">
        <v>2</v>
      </c>
      <c r="G365">
        <v>2</v>
      </c>
      <c r="H365">
        <v>1</v>
      </c>
      <c r="I365" s="2">
        <v>3</v>
      </c>
      <c r="J365" t="s">
        <v>369</v>
      </c>
      <c r="K365" t="s">
        <v>370</v>
      </c>
      <c r="L365" t="s">
        <v>32</v>
      </c>
      <c r="M365" t="s">
        <v>23</v>
      </c>
    </row>
    <row r="366" spans="2:13" ht="14.25" customHeight="1" x14ac:dyDescent="0.3">
      <c r="B366" s="3"/>
      <c r="C366" t="s">
        <v>248</v>
      </c>
      <c r="D366">
        <v>45</v>
      </c>
      <c r="E366">
        <v>25</v>
      </c>
      <c r="F366">
        <v>3</v>
      </c>
      <c r="G366">
        <v>2</v>
      </c>
      <c r="H366">
        <v>1</v>
      </c>
      <c r="I366" s="2">
        <v>5.4</v>
      </c>
      <c r="J366" t="s">
        <v>371</v>
      </c>
      <c r="K366" t="s">
        <v>370</v>
      </c>
      <c r="L366" t="s">
        <v>32</v>
      </c>
      <c r="M366" t="s">
        <v>23</v>
      </c>
    </row>
    <row r="367" spans="2:13" ht="14.25" customHeight="1" x14ac:dyDescent="0.3">
      <c r="B367" s="3"/>
      <c r="C367" t="s">
        <v>241</v>
      </c>
      <c r="D367">
        <v>45.5</v>
      </c>
      <c r="E367">
        <v>3.6</v>
      </c>
      <c r="F367">
        <v>1</v>
      </c>
      <c r="G367">
        <v>2</v>
      </c>
      <c r="H367">
        <v>1</v>
      </c>
      <c r="I367" s="2">
        <v>0.25</v>
      </c>
      <c r="J367" t="s">
        <v>192</v>
      </c>
      <c r="K367" t="s">
        <v>273</v>
      </c>
      <c r="L367" t="s">
        <v>89</v>
      </c>
      <c r="M367" t="s">
        <v>23</v>
      </c>
    </row>
    <row r="368" spans="2:13" ht="14.25" customHeight="1" x14ac:dyDescent="0.3">
      <c r="B368" s="3"/>
      <c r="C368" t="s">
        <v>120</v>
      </c>
      <c r="D368">
        <v>45.7</v>
      </c>
      <c r="E368">
        <v>16.5</v>
      </c>
      <c r="F368">
        <v>1</v>
      </c>
      <c r="G368">
        <v>2</v>
      </c>
      <c r="H368">
        <v>1</v>
      </c>
      <c r="I368" s="2">
        <v>0.7</v>
      </c>
      <c r="J368" t="s">
        <v>240</v>
      </c>
      <c r="K368" t="s">
        <v>273</v>
      </c>
      <c r="L368" t="s">
        <v>89</v>
      </c>
      <c r="M368" t="s">
        <v>23</v>
      </c>
    </row>
    <row r="369" spans="2:13" ht="14.25" customHeight="1" x14ac:dyDescent="0.3">
      <c r="B369" s="3"/>
      <c r="C369" t="s">
        <v>241</v>
      </c>
      <c r="D369">
        <v>46</v>
      </c>
      <c r="E369">
        <v>8.5</v>
      </c>
      <c r="F369">
        <v>2</v>
      </c>
      <c r="G369">
        <v>4</v>
      </c>
      <c r="H369">
        <v>1</v>
      </c>
      <c r="I369" s="2">
        <v>0.7</v>
      </c>
      <c r="J369" t="s">
        <v>3</v>
      </c>
      <c r="K369" t="s">
        <v>273</v>
      </c>
      <c r="L369" t="s">
        <v>89</v>
      </c>
      <c r="M369" t="s">
        <v>23</v>
      </c>
    </row>
    <row r="370" spans="2:13" ht="14.25" customHeight="1" x14ac:dyDescent="0.3">
      <c r="B370" s="3"/>
      <c r="C370" t="s">
        <v>241</v>
      </c>
      <c r="D370">
        <v>46</v>
      </c>
      <c r="E370">
        <v>35</v>
      </c>
      <c r="F370">
        <v>5</v>
      </c>
      <c r="G370">
        <v>4</v>
      </c>
      <c r="H370">
        <v>1</v>
      </c>
      <c r="I370" s="2">
        <v>6.8</v>
      </c>
      <c r="J370" t="s">
        <v>3</v>
      </c>
      <c r="K370" t="s">
        <v>273</v>
      </c>
      <c r="L370" t="s">
        <v>89</v>
      </c>
      <c r="M370" t="s">
        <v>23</v>
      </c>
    </row>
    <row r="371" spans="2:13" ht="14.25" customHeight="1" x14ac:dyDescent="0.3">
      <c r="B371" s="3"/>
      <c r="C371" t="s">
        <v>360</v>
      </c>
      <c r="D371">
        <v>46.4</v>
      </c>
      <c r="E371">
        <v>30.4</v>
      </c>
      <c r="F371">
        <v>3.3</v>
      </c>
      <c r="G371">
        <v>1</v>
      </c>
      <c r="H371">
        <v>1</v>
      </c>
      <c r="I371" s="2">
        <v>0.80249999999999999</v>
      </c>
      <c r="J371" t="s">
        <v>361</v>
      </c>
      <c r="K371" t="s">
        <v>362</v>
      </c>
      <c r="L371" t="s">
        <v>32</v>
      </c>
      <c r="M371" t="s">
        <v>51</v>
      </c>
    </row>
    <row r="372" spans="2:13" ht="14.25" customHeight="1" x14ac:dyDescent="0.3">
      <c r="B372" s="3"/>
      <c r="C372" t="s">
        <v>360</v>
      </c>
      <c r="D372">
        <v>46.5</v>
      </c>
      <c r="E372">
        <v>33.5</v>
      </c>
      <c r="F372">
        <v>2</v>
      </c>
      <c r="G372">
        <v>1</v>
      </c>
      <c r="H372">
        <v>1</v>
      </c>
      <c r="I372" s="2">
        <v>0.53710000000000002</v>
      </c>
      <c r="J372" t="s">
        <v>361</v>
      </c>
      <c r="K372" t="s">
        <v>362</v>
      </c>
      <c r="L372" t="s">
        <v>32</v>
      </c>
      <c r="M372" t="s">
        <v>51</v>
      </c>
    </row>
    <row r="373" spans="2:13" ht="14.25" customHeight="1" x14ac:dyDescent="0.3">
      <c r="B373" s="3"/>
      <c r="C373" t="s">
        <v>120</v>
      </c>
      <c r="D373">
        <v>47.2</v>
      </c>
      <c r="E373">
        <v>4.5</v>
      </c>
      <c r="F373">
        <v>1</v>
      </c>
      <c r="G373">
        <v>1</v>
      </c>
      <c r="H373">
        <v>1</v>
      </c>
      <c r="I373" s="2">
        <v>0.2</v>
      </c>
      <c r="J373" t="s">
        <v>240</v>
      </c>
      <c r="K373" t="s">
        <v>273</v>
      </c>
      <c r="L373" t="s">
        <v>89</v>
      </c>
      <c r="M373" t="s">
        <v>23</v>
      </c>
    </row>
    <row r="374" spans="2:13" ht="14.25" customHeight="1" x14ac:dyDescent="0.3">
      <c r="C374" t="s">
        <v>19</v>
      </c>
      <c r="D374">
        <v>48</v>
      </c>
      <c r="E374">
        <v>5</v>
      </c>
      <c r="F374">
        <v>1</v>
      </c>
      <c r="G374">
        <v>2</v>
      </c>
      <c r="H374">
        <v>1</v>
      </c>
      <c r="I374" s="2">
        <v>1.5</v>
      </c>
      <c r="J374" t="s">
        <v>354</v>
      </c>
      <c r="K374" t="s">
        <v>355</v>
      </c>
      <c r="L374" t="s">
        <v>89</v>
      </c>
      <c r="M374" t="s">
        <v>23</v>
      </c>
    </row>
    <row r="375" spans="2:13" ht="14.25" customHeight="1" x14ac:dyDescent="0.3">
      <c r="B375" s="3"/>
      <c r="C375" t="s">
        <v>372</v>
      </c>
      <c r="D375">
        <v>48</v>
      </c>
      <c r="E375">
        <v>10</v>
      </c>
      <c r="F375">
        <v>10</v>
      </c>
      <c r="G375">
        <v>12</v>
      </c>
      <c r="H375">
        <v>1</v>
      </c>
      <c r="I375" s="2">
        <v>11.25</v>
      </c>
      <c r="J375" t="s">
        <v>373</v>
      </c>
      <c r="K375" t="s">
        <v>374</v>
      </c>
      <c r="L375" t="s">
        <v>89</v>
      </c>
      <c r="M375" t="s">
        <v>28</v>
      </c>
    </row>
    <row r="376" spans="2:13" ht="14.25" customHeight="1" x14ac:dyDescent="0.3">
      <c r="B376" s="3"/>
      <c r="C376" t="s">
        <v>372</v>
      </c>
      <c r="D376">
        <v>48</v>
      </c>
      <c r="E376">
        <v>15</v>
      </c>
      <c r="F376">
        <v>9</v>
      </c>
      <c r="G376">
        <v>12</v>
      </c>
      <c r="H376">
        <v>1</v>
      </c>
      <c r="I376" s="2">
        <v>10.75</v>
      </c>
      <c r="J376" t="s">
        <v>373</v>
      </c>
      <c r="K376" t="s">
        <v>374</v>
      </c>
      <c r="L376" t="s">
        <v>89</v>
      </c>
      <c r="M376" t="s">
        <v>28</v>
      </c>
    </row>
    <row r="377" spans="2:13" ht="14.25" customHeight="1" x14ac:dyDescent="0.3">
      <c r="B377" s="3"/>
      <c r="C377" t="s">
        <v>19</v>
      </c>
      <c r="D377">
        <v>48</v>
      </c>
      <c r="E377">
        <v>22</v>
      </c>
      <c r="F377">
        <v>1</v>
      </c>
      <c r="G377">
        <v>2</v>
      </c>
      <c r="H377">
        <v>1</v>
      </c>
      <c r="I377" s="2">
        <v>5</v>
      </c>
      <c r="J377" t="s">
        <v>354</v>
      </c>
      <c r="K377" t="s">
        <v>355</v>
      </c>
      <c r="L377" t="s">
        <v>89</v>
      </c>
      <c r="M377" t="s">
        <v>51</v>
      </c>
    </row>
    <row r="378" spans="2:13" ht="14.25" customHeight="1" x14ac:dyDescent="0.3">
      <c r="B378" s="3"/>
      <c r="C378" t="s">
        <v>120</v>
      </c>
      <c r="D378">
        <v>48</v>
      </c>
      <c r="E378">
        <v>28.8</v>
      </c>
      <c r="F378">
        <v>5</v>
      </c>
      <c r="G378">
        <v>2</v>
      </c>
      <c r="H378">
        <v>1</v>
      </c>
      <c r="I378" s="2">
        <v>1.19</v>
      </c>
      <c r="J378" t="s">
        <v>331</v>
      </c>
      <c r="K378" t="s">
        <v>332</v>
      </c>
      <c r="L378" t="s">
        <v>32</v>
      </c>
      <c r="M378" t="s">
        <v>33</v>
      </c>
    </row>
    <row r="379" spans="2:13" ht="14.25" customHeight="1" x14ac:dyDescent="0.3">
      <c r="B379" s="3"/>
      <c r="C379" t="s">
        <v>120</v>
      </c>
      <c r="D379">
        <v>48</v>
      </c>
      <c r="E379">
        <v>28.8</v>
      </c>
      <c r="F379">
        <v>5</v>
      </c>
      <c r="G379">
        <v>2</v>
      </c>
      <c r="H379">
        <v>1</v>
      </c>
      <c r="I379" s="2">
        <v>3.14</v>
      </c>
      <c r="J379" t="s">
        <v>331</v>
      </c>
      <c r="K379" t="s">
        <v>333</v>
      </c>
      <c r="L379" t="s">
        <v>22</v>
      </c>
      <c r="M379" t="s">
        <v>33</v>
      </c>
    </row>
    <row r="380" spans="2:13" ht="14.25" customHeight="1" x14ac:dyDescent="0.3">
      <c r="B380" s="3"/>
      <c r="C380" t="s">
        <v>120</v>
      </c>
      <c r="D380">
        <v>48</v>
      </c>
      <c r="E380">
        <v>28.8</v>
      </c>
      <c r="F380">
        <v>5</v>
      </c>
      <c r="G380">
        <v>2</v>
      </c>
      <c r="H380">
        <v>1</v>
      </c>
      <c r="I380" s="2">
        <v>6.93</v>
      </c>
      <c r="J380" t="s">
        <v>331</v>
      </c>
      <c r="K380" t="s">
        <v>273</v>
      </c>
      <c r="L380" t="s">
        <v>89</v>
      </c>
      <c r="M380" t="s">
        <v>51</v>
      </c>
    </row>
    <row r="381" spans="2:13" ht="14.25" customHeight="1" x14ac:dyDescent="0.3">
      <c r="B381" s="3"/>
      <c r="C381" t="s">
        <v>120</v>
      </c>
      <c r="D381">
        <v>48</v>
      </c>
      <c r="E381">
        <v>29.2</v>
      </c>
      <c r="F381">
        <v>8</v>
      </c>
      <c r="G381">
        <v>2</v>
      </c>
      <c r="H381">
        <v>1</v>
      </c>
      <c r="I381" s="2">
        <v>1.93</v>
      </c>
      <c r="J381" t="s">
        <v>331</v>
      </c>
      <c r="K381" t="s">
        <v>332</v>
      </c>
      <c r="L381" t="s">
        <v>32</v>
      </c>
      <c r="M381" t="s">
        <v>33</v>
      </c>
    </row>
    <row r="382" spans="2:13" ht="14.25" customHeight="1" x14ac:dyDescent="0.3">
      <c r="B382" s="3"/>
      <c r="C382" t="s">
        <v>120</v>
      </c>
      <c r="D382">
        <v>48</v>
      </c>
      <c r="E382">
        <v>29.2</v>
      </c>
      <c r="F382">
        <v>8</v>
      </c>
      <c r="G382">
        <v>2</v>
      </c>
      <c r="H382">
        <v>1</v>
      </c>
      <c r="I382" s="2">
        <v>5.0199999999999996</v>
      </c>
      <c r="J382" t="s">
        <v>331</v>
      </c>
      <c r="K382" t="s">
        <v>333</v>
      </c>
      <c r="L382" t="s">
        <v>22</v>
      </c>
      <c r="M382" t="s">
        <v>28</v>
      </c>
    </row>
    <row r="383" spans="2:13" ht="14.25" customHeight="1" x14ac:dyDescent="0.3">
      <c r="B383" s="3"/>
      <c r="C383" t="s">
        <v>120</v>
      </c>
      <c r="D383">
        <v>48</v>
      </c>
      <c r="E383">
        <v>29.2</v>
      </c>
      <c r="F383">
        <v>8</v>
      </c>
      <c r="G383">
        <v>2</v>
      </c>
      <c r="H383">
        <v>1</v>
      </c>
      <c r="I383" s="2">
        <v>7.5</v>
      </c>
      <c r="J383" t="s">
        <v>375</v>
      </c>
      <c r="K383" t="s">
        <v>376</v>
      </c>
      <c r="L383" t="s">
        <v>22</v>
      </c>
      <c r="M383" t="s">
        <v>33</v>
      </c>
    </row>
    <row r="384" spans="2:13" ht="14.25" customHeight="1" x14ac:dyDescent="0.3">
      <c r="B384" s="3"/>
      <c r="C384" t="s">
        <v>120</v>
      </c>
      <c r="D384">
        <v>48</v>
      </c>
      <c r="E384">
        <v>29.2</v>
      </c>
      <c r="F384">
        <v>8</v>
      </c>
      <c r="G384">
        <v>2</v>
      </c>
      <c r="H384">
        <v>1</v>
      </c>
      <c r="I384" s="2">
        <v>11.09</v>
      </c>
      <c r="J384" t="s">
        <v>331</v>
      </c>
      <c r="K384" t="s">
        <v>273</v>
      </c>
      <c r="L384" t="s">
        <v>32</v>
      </c>
      <c r="M384" t="s">
        <v>28</v>
      </c>
    </row>
    <row r="385" spans="2:13" ht="14.25" customHeight="1" x14ac:dyDescent="0.3">
      <c r="B385" s="3"/>
      <c r="C385" t="s">
        <v>120</v>
      </c>
      <c r="D385">
        <v>48</v>
      </c>
      <c r="E385">
        <v>29.2</v>
      </c>
      <c r="F385">
        <v>8</v>
      </c>
      <c r="G385">
        <v>2</v>
      </c>
      <c r="H385">
        <v>1</v>
      </c>
      <c r="I385" s="2">
        <v>11.17</v>
      </c>
      <c r="J385" t="s">
        <v>375</v>
      </c>
      <c r="K385" t="s">
        <v>377</v>
      </c>
      <c r="L385" t="s">
        <v>89</v>
      </c>
      <c r="M385" t="s">
        <v>51</v>
      </c>
    </row>
    <row r="386" spans="2:13" ht="14.25" customHeight="1" x14ac:dyDescent="0.3">
      <c r="B386" s="3"/>
      <c r="C386" t="s">
        <v>120</v>
      </c>
      <c r="D386">
        <v>48</v>
      </c>
      <c r="E386">
        <v>33.799999999999997</v>
      </c>
      <c r="F386">
        <v>5</v>
      </c>
      <c r="G386">
        <v>2</v>
      </c>
      <c r="H386">
        <v>1</v>
      </c>
      <c r="I386" s="2">
        <v>1.4</v>
      </c>
      <c r="J386" t="s">
        <v>331</v>
      </c>
      <c r="K386" t="s">
        <v>332</v>
      </c>
      <c r="L386" t="s">
        <v>89</v>
      </c>
      <c r="M386" t="s">
        <v>33</v>
      </c>
    </row>
    <row r="387" spans="2:13" ht="14.25" customHeight="1" x14ac:dyDescent="0.3">
      <c r="B387" s="3"/>
      <c r="C387" t="s">
        <v>120</v>
      </c>
      <c r="D387">
        <v>48</v>
      </c>
      <c r="E387">
        <v>33.799999999999997</v>
      </c>
      <c r="F387">
        <v>5</v>
      </c>
      <c r="G387">
        <v>2</v>
      </c>
      <c r="H387">
        <v>1</v>
      </c>
      <c r="I387" s="2">
        <v>3.8</v>
      </c>
      <c r="J387" t="s">
        <v>331</v>
      </c>
      <c r="K387" t="s">
        <v>333</v>
      </c>
      <c r="L387" t="s">
        <v>32</v>
      </c>
      <c r="M387" t="s">
        <v>33</v>
      </c>
    </row>
    <row r="388" spans="2:13" ht="14.25" customHeight="1" x14ac:dyDescent="0.3">
      <c r="B388" s="3"/>
      <c r="C388" t="s">
        <v>120</v>
      </c>
      <c r="D388">
        <v>48</v>
      </c>
      <c r="E388">
        <v>33.799999999999997</v>
      </c>
      <c r="F388">
        <v>5</v>
      </c>
      <c r="G388">
        <v>2</v>
      </c>
      <c r="H388">
        <v>1</v>
      </c>
      <c r="I388" s="2">
        <v>8.4</v>
      </c>
      <c r="J388" t="s">
        <v>331</v>
      </c>
      <c r="K388" t="s">
        <v>273</v>
      </c>
      <c r="L388" t="s">
        <v>89</v>
      </c>
      <c r="M388" t="s">
        <v>51</v>
      </c>
    </row>
    <row r="389" spans="2:13" ht="14.25" customHeight="1" x14ac:dyDescent="0.3">
      <c r="B389" s="3"/>
      <c r="C389" t="s">
        <v>120</v>
      </c>
      <c r="D389">
        <v>48</v>
      </c>
      <c r="E389">
        <v>40</v>
      </c>
      <c r="F389">
        <v>3.5</v>
      </c>
      <c r="G389">
        <v>1</v>
      </c>
      <c r="H389">
        <v>1</v>
      </c>
      <c r="I389" s="2">
        <v>0.98</v>
      </c>
      <c r="J389" t="s">
        <v>356</v>
      </c>
      <c r="K389" t="s">
        <v>332</v>
      </c>
      <c r="L389" t="s">
        <v>32</v>
      </c>
      <c r="M389" t="s">
        <v>28</v>
      </c>
    </row>
    <row r="390" spans="2:13" ht="14.25" customHeight="1" x14ac:dyDescent="0.3">
      <c r="B390" s="3"/>
      <c r="C390" t="s">
        <v>378</v>
      </c>
      <c r="D390">
        <v>48.2</v>
      </c>
      <c r="E390">
        <v>37.5</v>
      </c>
      <c r="F390">
        <v>3</v>
      </c>
      <c r="G390">
        <v>50</v>
      </c>
      <c r="H390">
        <v>1</v>
      </c>
      <c r="I390" s="2">
        <v>3.25</v>
      </c>
      <c r="J390" t="s">
        <v>379</v>
      </c>
      <c r="K390" t="s">
        <v>380</v>
      </c>
      <c r="L390" t="s">
        <v>89</v>
      </c>
      <c r="M390" t="s">
        <v>23</v>
      </c>
    </row>
    <row r="391" spans="2:13" ht="14.25" customHeight="1" x14ac:dyDescent="0.3">
      <c r="B391" s="3"/>
      <c r="C391" t="s">
        <v>378</v>
      </c>
      <c r="D391">
        <v>48.2</v>
      </c>
      <c r="E391">
        <v>37.5</v>
      </c>
      <c r="F391">
        <v>3</v>
      </c>
      <c r="G391">
        <v>50</v>
      </c>
      <c r="H391">
        <v>1</v>
      </c>
      <c r="I391" s="2">
        <f>2.4+150/G391</f>
        <v>5.4</v>
      </c>
      <c r="J391" t="s">
        <v>381</v>
      </c>
      <c r="K391" t="s">
        <v>382</v>
      </c>
      <c r="L391" t="s">
        <v>22</v>
      </c>
      <c r="M391" t="s">
        <v>33</v>
      </c>
    </row>
    <row r="392" spans="2:13" ht="14.25" customHeight="1" x14ac:dyDescent="0.3">
      <c r="B392" s="3"/>
      <c r="C392" t="s">
        <v>24</v>
      </c>
      <c r="D392">
        <v>48.4</v>
      </c>
      <c r="E392">
        <v>12</v>
      </c>
      <c r="F392">
        <v>4</v>
      </c>
      <c r="G392">
        <v>8</v>
      </c>
      <c r="H392">
        <v>1</v>
      </c>
      <c r="I392" s="2">
        <v>29</v>
      </c>
      <c r="J392" t="s">
        <v>383</v>
      </c>
      <c r="K392" t="s">
        <v>384</v>
      </c>
      <c r="L392" t="s">
        <v>89</v>
      </c>
      <c r="M392" t="s">
        <v>23</v>
      </c>
    </row>
    <row r="393" spans="2:13" ht="14.25" customHeight="1" x14ac:dyDescent="0.3">
      <c r="B393" s="3"/>
      <c r="C393" t="s">
        <v>24</v>
      </c>
      <c r="D393">
        <v>48.4</v>
      </c>
      <c r="E393">
        <v>12</v>
      </c>
      <c r="F393">
        <v>4</v>
      </c>
      <c r="G393">
        <v>8</v>
      </c>
      <c r="H393">
        <v>1</v>
      </c>
      <c r="I393" s="2">
        <v>9</v>
      </c>
      <c r="J393" t="s">
        <v>385</v>
      </c>
      <c r="K393" t="s">
        <v>386</v>
      </c>
      <c r="L393" t="s">
        <v>22</v>
      </c>
      <c r="M393" t="s">
        <v>51</v>
      </c>
    </row>
    <row r="394" spans="2:13" ht="14.25" customHeight="1" x14ac:dyDescent="0.3">
      <c r="B394" s="3"/>
      <c r="C394" t="s">
        <v>120</v>
      </c>
      <c r="D394">
        <v>48.5</v>
      </c>
      <c r="E394">
        <v>41</v>
      </c>
      <c r="F394">
        <v>2</v>
      </c>
      <c r="G394">
        <v>3</v>
      </c>
      <c r="H394">
        <v>1</v>
      </c>
      <c r="I394" s="2">
        <v>0.68</v>
      </c>
      <c r="J394" t="s">
        <v>331</v>
      </c>
      <c r="K394" t="s">
        <v>332</v>
      </c>
      <c r="L394" t="s">
        <v>32</v>
      </c>
      <c r="M394" t="s">
        <v>28</v>
      </c>
    </row>
    <row r="395" spans="2:13" ht="14.25" customHeight="1" x14ac:dyDescent="0.3">
      <c r="B395" s="3"/>
      <c r="C395" t="s">
        <v>120</v>
      </c>
      <c r="D395">
        <v>48.5</v>
      </c>
      <c r="E395">
        <v>41</v>
      </c>
      <c r="F395">
        <v>2</v>
      </c>
      <c r="G395">
        <v>3</v>
      </c>
      <c r="H395">
        <v>1</v>
      </c>
      <c r="I395" s="2">
        <v>6.25</v>
      </c>
      <c r="J395" t="s">
        <v>387</v>
      </c>
      <c r="K395" t="s">
        <v>376</v>
      </c>
      <c r="L395" t="s">
        <v>22</v>
      </c>
      <c r="M395" t="s">
        <v>33</v>
      </c>
    </row>
    <row r="396" spans="2:13" ht="14.25" customHeight="1" x14ac:dyDescent="0.3">
      <c r="B396" s="3"/>
      <c r="C396" t="s">
        <v>120</v>
      </c>
      <c r="D396">
        <v>48.5</v>
      </c>
      <c r="E396">
        <v>41</v>
      </c>
      <c r="F396">
        <v>2</v>
      </c>
      <c r="G396">
        <v>3</v>
      </c>
      <c r="H396">
        <v>1</v>
      </c>
      <c r="I396" s="2">
        <v>10.56</v>
      </c>
      <c r="J396" t="s">
        <v>331</v>
      </c>
      <c r="K396" t="s">
        <v>333</v>
      </c>
      <c r="L396" t="s">
        <v>22</v>
      </c>
      <c r="M396" t="s">
        <v>28</v>
      </c>
    </row>
    <row r="397" spans="2:13" ht="14.25" customHeight="1" x14ac:dyDescent="0.3">
      <c r="B397" s="3"/>
      <c r="C397" t="s">
        <v>120</v>
      </c>
      <c r="D397">
        <v>48.5</v>
      </c>
      <c r="E397">
        <v>41</v>
      </c>
      <c r="F397">
        <v>2</v>
      </c>
      <c r="G397">
        <v>3</v>
      </c>
      <c r="H397">
        <v>1</v>
      </c>
      <c r="I397" s="2">
        <v>7</v>
      </c>
      <c r="J397" t="s">
        <v>387</v>
      </c>
      <c r="K397" t="s">
        <v>388</v>
      </c>
      <c r="L397" t="s">
        <v>89</v>
      </c>
      <c r="M397" t="s">
        <v>33</v>
      </c>
    </row>
    <row r="398" spans="2:13" ht="14.25" customHeight="1" x14ac:dyDescent="0.3">
      <c r="B398" s="3"/>
      <c r="C398" t="s">
        <v>120</v>
      </c>
      <c r="D398">
        <v>48.5</v>
      </c>
      <c r="E398">
        <v>41</v>
      </c>
      <c r="F398">
        <v>2</v>
      </c>
      <c r="G398">
        <v>3</v>
      </c>
      <c r="H398">
        <v>1</v>
      </c>
      <c r="I398" s="2">
        <v>15.84</v>
      </c>
      <c r="J398" t="s">
        <v>331</v>
      </c>
      <c r="K398" t="s">
        <v>273</v>
      </c>
      <c r="L398" t="s">
        <v>89</v>
      </c>
      <c r="M398" t="s">
        <v>51</v>
      </c>
    </row>
    <row r="399" spans="2:13" ht="14.25" customHeight="1" x14ac:dyDescent="0.3">
      <c r="B399" s="3"/>
      <c r="C399" t="s">
        <v>120</v>
      </c>
      <c r="D399">
        <v>48.5</v>
      </c>
      <c r="E399">
        <v>48</v>
      </c>
      <c r="F399">
        <v>7</v>
      </c>
      <c r="G399">
        <v>1</v>
      </c>
      <c r="H399">
        <v>1</v>
      </c>
      <c r="I399" s="2">
        <v>2.81</v>
      </c>
      <c r="J399" t="s">
        <v>331</v>
      </c>
      <c r="K399" t="s">
        <v>332</v>
      </c>
      <c r="L399" t="s">
        <v>32</v>
      </c>
      <c r="M399" t="s">
        <v>28</v>
      </c>
    </row>
    <row r="400" spans="2:13" ht="14.25" customHeight="1" x14ac:dyDescent="0.3">
      <c r="B400" s="3"/>
      <c r="C400" t="s">
        <v>120</v>
      </c>
      <c r="D400">
        <v>48.5</v>
      </c>
      <c r="E400">
        <v>48</v>
      </c>
      <c r="F400">
        <v>7</v>
      </c>
      <c r="G400">
        <v>1</v>
      </c>
      <c r="H400">
        <v>1</v>
      </c>
      <c r="I400" s="2">
        <v>9.3800000000000008</v>
      </c>
      <c r="J400" t="s">
        <v>387</v>
      </c>
      <c r="K400" t="s">
        <v>389</v>
      </c>
      <c r="L400" t="s">
        <v>32</v>
      </c>
      <c r="M400" t="s">
        <v>33</v>
      </c>
    </row>
    <row r="401" spans="2:13" ht="14.25" customHeight="1" x14ac:dyDescent="0.3">
      <c r="B401" s="3"/>
      <c r="C401" t="s">
        <v>120</v>
      </c>
      <c r="D401">
        <v>48.5</v>
      </c>
      <c r="E401">
        <v>48</v>
      </c>
      <c r="F401">
        <v>7</v>
      </c>
      <c r="G401">
        <v>1</v>
      </c>
      <c r="H401">
        <v>1</v>
      </c>
      <c r="I401" s="2">
        <v>36</v>
      </c>
      <c r="J401" t="s">
        <v>331</v>
      </c>
      <c r="K401" t="s">
        <v>333</v>
      </c>
      <c r="L401" t="s">
        <v>22</v>
      </c>
      <c r="M401" t="s">
        <v>28</v>
      </c>
    </row>
    <row r="402" spans="2:13" ht="14.25" customHeight="1" x14ac:dyDescent="0.3">
      <c r="B402" s="3"/>
      <c r="C402" t="s">
        <v>120</v>
      </c>
      <c r="D402">
        <v>48.5</v>
      </c>
      <c r="E402">
        <v>48</v>
      </c>
      <c r="F402">
        <v>7</v>
      </c>
      <c r="G402">
        <v>1</v>
      </c>
      <c r="H402">
        <v>1</v>
      </c>
      <c r="I402" s="2">
        <v>12</v>
      </c>
      <c r="J402" t="s">
        <v>387</v>
      </c>
      <c r="K402" t="s">
        <v>390</v>
      </c>
      <c r="L402" t="s">
        <v>89</v>
      </c>
      <c r="M402" t="s">
        <v>33</v>
      </c>
    </row>
    <row r="403" spans="2:13" ht="14.25" customHeight="1" x14ac:dyDescent="0.3">
      <c r="B403" s="3"/>
      <c r="C403" t="s">
        <v>120</v>
      </c>
      <c r="D403">
        <v>48.5</v>
      </c>
      <c r="E403">
        <v>48</v>
      </c>
      <c r="F403">
        <v>7</v>
      </c>
      <c r="G403">
        <v>1</v>
      </c>
      <c r="H403">
        <v>1</v>
      </c>
      <c r="I403" s="2">
        <v>78.400000000000006</v>
      </c>
      <c r="J403" t="s">
        <v>331</v>
      </c>
      <c r="K403" t="s">
        <v>273</v>
      </c>
      <c r="L403" t="s">
        <v>89</v>
      </c>
      <c r="M403" t="s">
        <v>23</v>
      </c>
    </row>
    <row r="404" spans="2:13" ht="14.25" customHeight="1" x14ac:dyDescent="0.3">
      <c r="B404" s="3"/>
      <c r="C404" t="s">
        <v>253</v>
      </c>
      <c r="D404">
        <v>49</v>
      </c>
      <c r="E404">
        <v>13.1</v>
      </c>
      <c r="F404">
        <v>6</v>
      </c>
      <c r="G404">
        <v>1</v>
      </c>
      <c r="H404">
        <v>1</v>
      </c>
      <c r="I404" s="2">
        <v>4.2</v>
      </c>
      <c r="J404" t="s">
        <v>240</v>
      </c>
      <c r="K404" t="s">
        <v>273</v>
      </c>
      <c r="L404" t="s">
        <v>89</v>
      </c>
      <c r="M404" t="s">
        <v>23</v>
      </c>
    </row>
    <row r="405" spans="2:13" ht="14.25" customHeight="1" x14ac:dyDescent="0.3">
      <c r="B405" s="3"/>
      <c r="C405" t="s">
        <v>253</v>
      </c>
      <c r="D405">
        <v>49</v>
      </c>
      <c r="E405">
        <v>13.2</v>
      </c>
      <c r="F405">
        <v>6</v>
      </c>
      <c r="G405">
        <v>1</v>
      </c>
      <c r="H405">
        <v>1</v>
      </c>
      <c r="I405" s="2">
        <v>4.2</v>
      </c>
      <c r="J405" t="s">
        <v>240</v>
      </c>
      <c r="K405" t="s">
        <v>273</v>
      </c>
      <c r="L405" t="s">
        <v>89</v>
      </c>
      <c r="M405" t="s">
        <v>51</v>
      </c>
    </row>
    <row r="406" spans="2:13" ht="14.25" customHeight="1" x14ac:dyDescent="0.3">
      <c r="B406" s="3"/>
      <c r="C406" t="s">
        <v>120</v>
      </c>
      <c r="D406">
        <v>49</v>
      </c>
      <c r="E406">
        <v>34</v>
      </c>
      <c r="F406">
        <v>5</v>
      </c>
      <c r="G406">
        <v>3</v>
      </c>
      <c r="H406">
        <v>1</v>
      </c>
      <c r="I406" s="2">
        <v>1.22</v>
      </c>
      <c r="J406" t="s">
        <v>356</v>
      </c>
      <c r="K406" t="s">
        <v>391</v>
      </c>
      <c r="L406" t="s">
        <v>32</v>
      </c>
      <c r="M406" t="s">
        <v>23</v>
      </c>
    </row>
    <row r="407" spans="2:13" ht="14.25" customHeight="1" x14ac:dyDescent="0.3">
      <c r="B407" s="3"/>
      <c r="C407" t="s">
        <v>392</v>
      </c>
      <c r="D407">
        <v>49.2</v>
      </c>
      <c r="E407">
        <v>16</v>
      </c>
      <c r="F407">
        <v>2</v>
      </c>
      <c r="G407">
        <v>4</v>
      </c>
      <c r="H407">
        <v>1</v>
      </c>
      <c r="I407" s="2">
        <v>1.5</v>
      </c>
      <c r="J407" t="s">
        <v>240</v>
      </c>
      <c r="K407" t="s">
        <v>273</v>
      </c>
      <c r="L407" t="s">
        <v>89</v>
      </c>
      <c r="M407" t="s">
        <v>23</v>
      </c>
    </row>
    <row r="408" spans="2:13" ht="14.25" customHeight="1" x14ac:dyDescent="0.3">
      <c r="B408" s="3"/>
      <c r="C408" t="s">
        <v>393</v>
      </c>
      <c r="D408">
        <v>49.5</v>
      </c>
      <c r="E408">
        <v>14.5</v>
      </c>
      <c r="F408" t="s">
        <v>394</v>
      </c>
      <c r="G408">
        <v>1500</v>
      </c>
      <c r="H408">
        <v>1</v>
      </c>
      <c r="I408" s="2">
        <f>2.45+210/G408</f>
        <v>2.5900000000000003</v>
      </c>
      <c r="J408" t="s">
        <v>395</v>
      </c>
      <c r="K408" t="s">
        <v>396</v>
      </c>
      <c r="L408" t="s">
        <v>22</v>
      </c>
      <c r="M408" t="s">
        <v>23</v>
      </c>
    </row>
    <row r="409" spans="2:13" ht="14.25" customHeight="1" x14ac:dyDescent="0.3">
      <c r="B409" s="3"/>
      <c r="C409" t="s">
        <v>393</v>
      </c>
      <c r="D409">
        <v>49.5</v>
      </c>
      <c r="E409">
        <v>14.5</v>
      </c>
      <c r="F409" t="s">
        <v>394</v>
      </c>
      <c r="G409">
        <v>3000</v>
      </c>
      <c r="H409">
        <v>1</v>
      </c>
      <c r="I409" s="2">
        <f>2.31+210/G409</f>
        <v>2.38</v>
      </c>
      <c r="J409" t="s">
        <v>395</v>
      </c>
      <c r="K409" t="s">
        <v>396</v>
      </c>
      <c r="L409" t="s">
        <v>22</v>
      </c>
      <c r="M409" t="s">
        <v>23</v>
      </c>
    </row>
    <row r="410" spans="2:13" ht="14.25" customHeight="1" x14ac:dyDescent="0.3">
      <c r="B410" s="3"/>
      <c r="C410" t="s">
        <v>120</v>
      </c>
      <c r="D410">
        <v>49.6</v>
      </c>
      <c r="E410">
        <v>19.7</v>
      </c>
      <c r="F410">
        <v>1</v>
      </c>
      <c r="G410">
        <v>1</v>
      </c>
      <c r="H410">
        <v>1</v>
      </c>
      <c r="I410" s="2">
        <v>0.75</v>
      </c>
      <c r="J410" t="s">
        <v>240</v>
      </c>
      <c r="K410" t="s">
        <v>273</v>
      </c>
      <c r="L410" t="s">
        <v>89</v>
      </c>
      <c r="M410" t="s">
        <v>23</v>
      </c>
    </row>
    <row r="411" spans="2:13" ht="14.25" customHeight="1" x14ac:dyDescent="0.3">
      <c r="B411" s="3"/>
      <c r="C411" t="s">
        <v>171</v>
      </c>
      <c r="D411">
        <v>50</v>
      </c>
      <c r="E411">
        <v>7</v>
      </c>
      <c r="F411">
        <v>2</v>
      </c>
      <c r="G411">
        <v>2</v>
      </c>
      <c r="H411">
        <v>1</v>
      </c>
      <c r="I411" s="2">
        <v>0.75</v>
      </c>
      <c r="J411" t="s">
        <v>172</v>
      </c>
      <c r="K411" t="s">
        <v>273</v>
      </c>
      <c r="L411" t="s">
        <v>89</v>
      </c>
      <c r="M411" t="s">
        <v>23</v>
      </c>
    </row>
    <row r="412" spans="2:13" ht="14.25" customHeight="1" x14ac:dyDescent="0.3">
      <c r="B412" s="3"/>
      <c r="C412" t="s">
        <v>397</v>
      </c>
      <c r="D412">
        <v>50</v>
      </c>
      <c r="E412">
        <v>10</v>
      </c>
      <c r="F412">
        <v>2.5</v>
      </c>
      <c r="G412">
        <v>100</v>
      </c>
      <c r="H412">
        <v>1</v>
      </c>
      <c r="I412" s="2">
        <v>2.7</v>
      </c>
      <c r="J412" t="s">
        <v>398</v>
      </c>
      <c r="K412" t="s">
        <v>399</v>
      </c>
      <c r="L412" t="s">
        <v>89</v>
      </c>
      <c r="M412" t="s">
        <v>33</v>
      </c>
    </row>
    <row r="413" spans="2:13" ht="14.25" customHeight="1" x14ac:dyDescent="0.3">
      <c r="B413" s="3"/>
      <c r="C413" t="s">
        <v>120</v>
      </c>
      <c r="D413">
        <v>50</v>
      </c>
      <c r="E413">
        <v>12.5</v>
      </c>
      <c r="F413">
        <v>8</v>
      </c>
      <c r="G413">
        <v>3</v>
      </c>
      <c r="H413">
        <v>1</v>
      </c>
      <c r="I413" s="2">
        <v>0.86</v>
      </c>
      <c r="J413" t="s">
        <v>331</v>
      </c>
      <c r="K413" t="s">
        <v>332</v>
      </c>
      <c r="L413" t="s">
        <v>32</v>
      </c>
      <c r="M413" t="s">
        <v>33</v>
      </c>
    </row>
    <row r="414" spans="2:13" ht="14.25" customHeight="1" x14ac:dyDescent="0.3">
      <c r="B414" s="3"/>
      <c r="C414" t="s">
        <v>120</v>
      </c>
      <c r="D414">
        <v>50</v>
      </c>
      <c r="E414">
        <v>12.5</v>
      </c>
      <c r="F414">
        <v>8</v>
      </c>
      <c r="G414">
        <v>3</v>
      </c>
      <c r="H414">
        <v>1</v>
      </c>
      <c r="I414" s="2">
        <v>2.52</v>
      </c>
      <c r="J414" t="s">
        <v>331</v>
      </c>
      <c r="K414" t="s">
        <v>333</v>
      </c>
      <c r="L414" t="s">
        <v>22</v>
      </c>
      <c r="M414" t="s">
        <v>28</v>
      </c>
    </row>
    <row r="415" spans="2:13" ht="14.25" customHeight="1" x14ac:dyDescent="0.3">
      <c r="B415" s="3"/>
      <c r="C415" t="s">
        <v>120</v>
      </c>
      <c r="D415">
        <v>50</v>
      </c>
      <c r="E415">
        <v>12.5</v>
      </c>
      <c r="F415">
        <v>8</v>
      </c>
      <c r="G415">
        <v>3</v>
      </c>
      <c r="H415">
        <v>1</v>
      </c>
      <c r="I415" s="2">
        <v>6.12</v>
      </c>
      <c r="J415" t="s">
        <v>400</v>
      </c>
      <c r="K415" t="s">
        <v>376</v>
      </c>
      <c r="L415" t="s">
        <v>22</v>
      </c>
      <c r="M415" t="s">
        <v>33</v>
      </c>
    </row>
    <row r="416" spans="2:13" ht="14.25" customHeight="1" x14ac:dyDescent="0.3">
      <c r="B416" s="3"/>
      <c r="C416" t="s">
        <v>120</v>
      </c>
      <c r="D416">
        <v>50</v>
      </c>
      <c r="E416">
        <v>12.5</v>
      </c>
      <c r="F416">
        <v>8</v>
      </c>
      <c r="G416">
        <v>3</v>
      </c>
      <c r="H416">
        <v>1</v>
      </c>
      <c r="I416" s="2">
        <v>4.2</v>
      </c>
      <c r="J416" t="s">
        <v>331</v>
      </c>
      <c r="K416" t="s">
        <v>273</v>
      </c>
      <c r="L416" t="s">
        <v>89</v>
      </c>
      <c r="M416" t="s">
        <v>28</v>
      </c>
    </row>
    <row r="417" spans="2:13" ht="14.25" customHeight="1" x14ac:dyDescent="0.3">
      <c r="B417" s="3"/>
      <c r="C417" t="s">
        <v>120</v>
      </c>
      <c r="D417">
        <v>50</v>
      </c>
      <c r="E417">
        <v>12.5</v>
      </c>
      <c r="F417">
        <v>8</v>
      </c>
      <c r="G417">
        <v>3</v>
      </c>
      <c r="H417">
        <v>1</v>
      </c>
      <c r="I417" s="2">
        <v>7.32</v>
      </c>
      <c r="J417" t="s">
        <v>400</v>
      </c>
      <c r="K417" t="s">
        <v>377</v>
      </c>
      <c r="L417" t="s">
        <v>89</v>
      </c>
      <c r="M417" t="s">
        <v>51</v>
      </c>
    </row>
    <row r="418" spans="2:13" ht="14.25" customHeight="1" x14ac:dyDescent="0.3">
      <c r="B418" s="3"/>
      <c r="C418" t="s">
        <v>120</v>
      </c>
      <c r="D418">
        <v>50</v>
      </c>
      <c r="E418">
        <v>25</v>
      </c>
      <c r="F418">
        <v>8</v>
      </c>
      <c r="G418">
        <v>4</v>
      </c>
      <c r="H418">
        <v>1</v>
      </c>
      <c r="I418" s="2">
        <v>1.72</v>
      </c>
      <c r="J418" t="s">
        <v>331</v>
      </c>
      <c r="K418" t="s">
        <v>332</v>
      </c>
      <c r="L418" t="s">
        <v>32</v>
      </c>
      <c r="M418" t="s">
        <v>33</v>
      </c>
    </row>
    <row r="419" spans="2:13" ht="14.25" customHeight="1" x14ac:dyDescent="0.3">
      <c r="B419" s="3"/>
      <c r="C419" t="s">
        <v>120</v>
      </c>
      <c r="D419">
        <v>50</v>
      </c>
      <c r="E419">
        <v>25</v>
      </c>
      <c r="F419">
        <v>8</v>
      </c>
      <c r="G419">
        <v>4</v>
      </c>
      <c r="H419">
        <v>1</v>
      </c>
      <c r="I419" s="2">
        <v>5.0199999999999996</v>
      </c>
      <c r="J419" t="s">
        <v>331</v>
      </c>
      <c r="K419" t="s">
        <v>333</v>
      </c>
      <c r="L419" t="s">
        <v>22</v>
      </c>
      <c r="M419" t="s">
        <v>28</v>
      </c>
    </row>
    <row r="420" spans="2:13" ht="14.25" customHeight="1" x14ac:dyDescent="0.3">
      <c r="B420" s="3"/>
      <c r="C420" t="s">
        <v>120</v>
      </c>
      <c r="D420">
        <v>50</v>
      </c>
      <c r="E420">
        <v>25</v>
      </c>
      <c r="F420">
        <v>8</v>
      </c>
      <c r="G420">
        <v>4</v>
      </c>
      <c r="H420">
        <v>1</v>
      </c>
      <c r="I420" s="2">
        <v>7.5</v>
      </c>
      <c r="J420" t="s">
        <v>400</v>
      </c>
      <c r="K420" t="s">
        <v>376</v>
      </c>
      <c r="L420" t="s">
        <v>22</v>
      </c>
      <c r="M420" t="s">
        <v>33</v>
      </c>
    </row>
    <row r="421" spans="2:13" ht="14.25" customHeight="1" x14ac:dyDescent="0.3">
      <c r="B421" s="3"/>
      <c r="C421" t="s">
        <v>120</v>
      </c>
      <c r="D421">
        <v>50</v>
      </c>
      <c r="E421">
        <v>25</v>
      </c>
      <c r="F421">
        <v>8</v>
      </c>
      <c r="G421">
        <v>4</v>
      </c>
      <c r="H421">
        <v>1</v>
      </c>
      <c r="I421" s="2">
        <v>8.4</v>
      </c>
      <c r="J421" t="s">
        <v>331</v>
      </c>
      <c r="K421" t="s">
        <v>273</v>
      </c>
      <c r="L421" t="s">
        <v>89</v>
      </c>
      <c r="M421" t="s">
        <v>28</v>
      </c>
    </row>
    <row r="422" spans="2:13" ht="14.25" customHeight="1" x14ac:dyDescent="0.3">
      <c r="B422" s="3"/>
      <c r="C422" t="s">
        <v>120</v>
      </c>
      <c r="D422">
        <v>50</v>
      </c>
      <c r="E422">
        <v>25</v>
      </c>
      <c r="F422">
        <v>8</v>
      </c>
      <c r="G422">
        <v>4</v>
      </c>
      <c r="H422">
        <v>1</v>
      </c>
      <c r="I422" s="2">
        <v>9.6300000000000008</v>
      </c>
      <c r="J422" t="s">
        <v>400</v>
      </c>
      <c r="K422" t="s">
        <v>401</v>
      </c>
      <c r="L422" t="s">
        <v>22</v>
      </c>
      <c r="M422" t="s">
        <v>23</v>
      </c>
    </row>
    <row r="423" spans="2:13" ht="14.25" customHeight="1" x14ac:dyDescent="0.3">
      <c r="B423" s="3"/>
      <c r="C423" t="s">
        <v>202</v>
      </c>
      <c r="D423">
        <v>50</v>
      </c>
      <c r="E423">
        <v>37.9</v>
      </c>
      <c r="F423">
        <v>2</v>
      </c>
      <c r="G423">
        <v>18</v>
      </c>
      <c r="H423">
        <v>1</v>
      </c>
      <c r="I423" s="2">
        <v>3.1</v>
      </c>
      <c r="J423" t="s">
        <v>172</v>
      </c>
      <c r="K423" t="s">
        <v>273</v>
      </c>
      <c r="L423" t="s">
        <v>22</v>
      </c>
      <c r="M423" t="s">
        <v>23</v>
      </c>
    </row>
    <row r="424" spans="2:13" ht="14.25" customHeight="1" x14ac:dyDescent="0.3">
      <c r="B424" s="3"/>
      <c r="C424" t="s">
        <v>202</v>
      </c>
      <c r="D424">
        <v>50</v>
      </c>
      <c r="E424">
        <v>38</v>
      </c>
      <c r="F424">
        <v>1</v>
      </c>
      <c r="G424">
        <v>36</v>
      </c>
      <c r="H424">
        <v>1</v>
      </c>
      <c r="I424" s="2">
        <v>2</v>
      </c>
      <c r="J424" t="s">
        <v>172</v>
      </c>
      <c r="K424" t="s">
        <v>273</v>
      </c>
      <c r="L424" t="s">
        <v>22</v>
      </c>
      <c r="M424" t="s">
        <v>23</v>
      </c>
    </row>
    <row r="425" spans="2:13" ht="14.25" customHeight="1" x14ac:dyDescent="0.3">
      <c r="B425" s="3"/>
      <c r="C425" t="s">
        <v>402</v>
      </c>
      <c r="D425">
        <v>50</v>
      </c>
      <c r="E425">
        <v>40</v>
      </c>
      <c r="F425">
        <v>4</v>
      </c>
      <c r="G425">
        <v>50</v>
      </c>
      <c r="H425">
        <v>1</v>
      </c>
      <c r="I425" s="2">
        <v>6.2</v>
      </c>
      <c r="J425" t="s">
        <v>373</v>
      </c>
      <c r="K425" t="s">
        <v>403</v>
      </c>
      <c r="L425" t="s">
        <v>32</v>
      </c>
      <c r="M425" t="s">
        <v>23</v>
      </c>
    </row>
    <row r="426" spans="2:13" ht="14.25" customHeight="1" x14ac:dyDescent="0.3">
      <c r="B426" s="3"/>
      <c r="C426" t="s">
        <v>404</v>
      </c>
      <c r="D426">
        <v>50</v>
      </c>
      <c r="E426">
        <v>40</v>
      </c>
      <c r="F426">
        <v>5</v>
      </c>
      <c r="G426">
        <v>30</v>
      </c>
      <c r="H426">
        <v>1</v>
      </c>
      <c r="I426" s="2">
        <v>3.8</v>
      </c>
      <c r="J426" t="s">
        <v>405</v>
      </c>
      <c r="K426" t="s">
        <v>406</v>
      </c>
      <c r="L426" t="s">
        <v>40</v>
      </c>
      <c r="M426" t="s">
        <v>51</v>
      </c>
    </row>
    <row r="427" spans="2:13" ht="14.25" customHeight="1" x14ac:dyDescent="0.3">
      <c r="B427" s="3"/>
      <c r="C427" t="s">
        <v>120</v>
      </c>
      <c r="D427">
        <v>50</v>
      </c>
      <c r="E427">
        <v>44</v>
      </c>
      <c r="F427">
        <v>5</v>
      </c>
      <c r="G427">
        <v>2</v>
      </c>
      <c r="H427">
        <v>1</v>
      </c>
      <c r="I427" s="2">
        <v>1.89</v>
      </c>
      <c r="J427" t="s">
        <v>331</v>
      </c>
      <c r="K427" t="s">
        <v>332</v>
      </c>
      <c r="L427" t="s">
        <v>40</v>
      </c>
      <c r="M427" t="s">
        <v>33</v>
      </c>
    </row>
    <row r="428" spans="2:13" ht="14.25" customHeight="1" x14ac:dyDescent="0.3">
      <c r="B428" s="3"/>
      <c r="C428" t="s">
        <v>120</v>
      </c>
      <c r="D428">
        <v>50</v>
      </c>
      <c r="E428">
        <v>44</v>
      </c>
      <c r="F428">
        <v>5</v>
      </c>
      <c r="G428">
        <v>2</v>
      </c>
      <c r="H428">
        <v>1</v>
      </c>
      <c r="I428" s="2">
        <v>4.75</v>
      </c>
      <c r="J428" t="s">
        <v>331</v>
      </c>
      <c r="K428" t="s">
        <v>333</v>
      </c>
      <c r="L428" t="s">
        <v>22</v>
      </c>
      <c r="M428" t="s">
        <v>33</v>
      </c>
    </row>
    <row r="429" spans="2:13" ht="14.25" customHeight="1" x14ac:dyDescent="0.3">
      <c r="B429" s="3"/>
      <c r="C429" t="s">
        <v>120</v>
      </c>
      <c r="D429">
        <v>50</v>
      </c>
      <c r="E429">
        <v>44</v>
      </c>
      <c r="F429">
        <v>5</v>
      </c>
      <c r="G429">
        <v>2</v>
      </c>
      <c r="H429">
        <v>1</v>
      </c>
      <c r="I429" s="2">
        <v>10.5</v>
      </c>
      <c r="J429" t="s">
        <v>331</v>
      </c>
      <c r="K429" t="s">
        <v>273</v>
      </c>
      <c r="L429" t="s">
        <v>89</v>
      </c>
      <c r="M429" t="s">
        <v>51</v>
      </c>
    </row>
    <row r="430" spans="2:13" ht="14.25" customHeight="1" x14ac:dyDescent="0.3">
      <c r="B430" s="3"/>
      <c r="C430" t="s">
        <v>120</v>
      </c>
      <c r="D430">
        <v>50</v>
      </c>
      <c r="E430">
        <v>48</v>
      </c>
      <c r="F430">
        <v>8</v>
      </c>
      <c r="G430">
        <v>2</v>
      </c>
      <c r="H430">
        <v>1</v>
      </c>
      <c r="I430" s="2">
        <v>3.31</v>
      </c>
      <c r="J430" t="s">
        <v>331</v>
      </c>
      <c r="K430" t="s">
        <v>332</v>
      </c>
      <c r="L430" t="s">
        <v>32</v>
      </c>
      <c r="M430" t="s">
        <v>33</v>
      </c>
    </row>
    <row r="431" spans="2:13" ht="14.25" customHeight="1" x14ac:dyDescent="0.3">
      <c r="B431" s="3"/>
      <c r="C431" t="s">
        <v>120</v>
      </c>
      <c r="D431">
        <v>50</v>
      </c>
      <c r="E431">
        <v>48</v>
      </c>
      <c r="F431">
        <v>8</v>
      </c>
      <c r="G431">
        <v>2</v>
      </c>
      <c r="H431">
        <v>1</v>
      </c>
      <c r="I431" s="2">
        <v>7.6</v>
      </c>
      <c r="J431" t="s">
        <v>331</v>
      </c>
      <c r="K431" t="s">
        <v>333</v>
      </c>
      <c r="L431" t="s">
        <v>22</v>
      </c>
      <c r="M431" t="s">
        <v>28</v>
      </c>
    </row>
    <row r="432" spans="2:13" ht="14.25" customHeight="1" x14ac:dyDescent="0.3">
      <c r="B432" s="3"/>
      <c r="C432" t="s">
        <v>120</v>
      </c>
      <c r="D432">
        <v>50</v>
      </c>
      <c r="E432">
        <v>48</v>
      </c>
      <c r="F432">
        <v>8</v>
      </c>
      <c r="G432">
        <v>2</v>
      </c>
      <c r="H432">
        <v>1</v>
      </c>
      <c r="I432" s="2">
        <v>10</v>
      </c>
      <c r="J432" t="s">
        <v>400</v>
      </c>
      <c r="K432" t="s">
        <v>376</v>
      </c>
      <c r="L432" t="s">
        <v>22</v>
      </c>
      <c r="M432" t="s">
        <v>28</v>
      </c>
    </row>
    <row r="433" spans="2:13" ht="14.25" customHeight="1" x14ac:dyDescent="0.3">
      <c r="B433" s="3"/>
      <c r="C433" t="s">
        <v>120</v>
      </c>
      <c r="D433">
        <v>50</v>
      </c>
      <c r="E433">
        <v>48</v>
      </c>
      <c r="F433">
        <v>8</v>
      </c>
      <c r="G433">
        <v>2</v>
      </c>
      <c r="H433">
        <v>1</v>
      </c>
      <c r="I433" s="2">
        <v>14.25</v>
      </c>
      <c r="J433" t="s">
        <v>400</v>
      </c>
      <c r="K433" t="s">
        <v>407</v>
      </c>
      <c r="L433" t="s">
        <v>89</v>
      </c>
      <c r="M433" t="s">
        <v>33</v>
      </c>
    </row>
    <row r="434" spans="2:13" ht="14.25" customHeight="1" x14ac:dyDescent="0.3">
      <c r="B434" s="3"/>
      <c r="C434" t="s">
        <v>120</v>
      </c>
      <c r="D434">
        <v>50</v>
      </c>
      <c r="E434">
        <v>48</v>
      </c>
      <c r="F434">
        <v>8</v>
      </c>
      <c r="G434">
        <v>2</v>
      </c>
      <c r="H434">
        <v>1</v>
      </c>
      <c r="I434" s="2">
        <v>16.8</v>
      </c>
      <c r="J434" t="s">
        <v>331</v>
      </c>
      <c r="K434" t="s">
        <v>273</v>
      </c>
      <c r="L434" t="s">
        <v>89</v>
      </c>
      <c r="M434" t="s">
        <v>23</v>
      </c>
    </row>
    <row r="435" spans="2:13" ht="14.25" customHeight="1" x14ac:dyDescent="0.3">
      <c r="B435" s="3"/>
      <c r="C435" t="s">
        <v>408</v>
      </c>
      <c r="D435">
        <v>50</v>
      </c>
      <c r="E435">
        <v>48.5</v>
      </c>
      <c r="F435">
        <v>1</v>
      </c>
      <c r="G435">
        <v>2</v>
      </c>
      <c r="H435">
        <v>1</v>
      </c>
      <c r="I435" s="2">
        <v>2.8</v>
      </c>
      <c r="J435" t="s">
        <v>409</v>
      </c>
      <c r="K435" t="s">
        <v>410</v>
      </c>
      <c r="L435" t="s">
        <v>27</v>
      </c>
      <c r="M435" t="s">
        <v>23</v>
      </c>
    </row>
    <row r="436" spans="2:13" ht="14.25" customHeight="1" x14ac:dyDescent="0.3">
      <c r="B436" s="3"/>
      <c r="C436" t="s">
        <v>408</v>
      </c>
      <c r="D436">
        <v>50</v>
      </c>
      <c r="E436">
        <v>48.5</v>
      </c>
      <c r="F436">
        <v>2</v>
      </c>
      <c r="G436">
        <v>1</v>
      </c>
      <c r="H436">
        <v>1</v>
      </c>
      <c r="I436" s="2">
        <v>5</v>
      </c>
      <c r="J436" t="s">
        <v>398</v>
      </c>
      <c r="K436" t="s">
        <v>411</v>
      </c>
      <c r="L436" t="s">
        <v>89</v>
      </c>
      <c r="M436" t="s">
        <v>23</v>
      </c>
    </row>
    <row r="437" spans="2:13" ht="14.25" customHeight="1" x14ac:dyDescent="0.3">
      <c r="B437" s="3"/>
      <c r="C437" t="s">
        <v>408</v>
      </c>
      <c r="D437">
        <v>50</v>
      </c>
      <c r="E437">
        <v>48.5</v>
      </c>
      <c r="F437">
        <v>7</v>
      </c>
      <c r="G437">
        <v>1</v>
      </c>
      <c r="H437">
        <v>1</v>
      </c>
      <c r="I437" s="2">
        <v>19.600000000000001</v>
      </c>
      <c r="J437" t="s">
        <v>409</v>
      </c>
      <c r="K437" t="s">
        <v>410</v>
      </c>
      <c r="L437" t="s">
        <v>27</v>
      </c>
      <c r="M437" t="s">
        <v>23</v>
      </c>
    </row>
    <row r="438" spans="2:13" ht="14.25" customHeight="1" x14ac:dyDescent="0.3">
      <c r="B438" s="3"/>
      <c r="C438" t="s">
        <v>408</v>
      </c>
      <c r="D438">
        <v>50</v>
      </c>
      <c r="E438">
        <v>48.5</v>
      </c>
      <c r="F438">
        <v>10</v>
      </c>
      <c r="G438">
        <v>2</v>
      </c>
      <c r="H438">
        <v>1</v>
      </c>
      <c r="I438" s="2">
        <v>28</v>
      </c>
      <c r="J438" t="s">
        <v>409</v>
      </c>
      <c r="K438" t="s">
        <v>410</v>
      </c>
      <c r="L438" t="s">
        <v>27</v>
      </c>
      <c r="M438" t="s">
        <v>23</v>
      </c>
    </row>
    <row r="439" spans="2:13" ht="14.25" customHeight="1" x14ac:dyDescent="0.3">
      <c r="B439" s="3"/>
      <c r="C439" t="s">
        <v>19</v>
      </c>
      <c r="D439">
        <v>50.3</v>
      </c>
      <c r="E439">
        <v>43.3</v>
      </c>
      <c r="F439">
        <v>1</v>
      </c>
      <c r="G439">
        <v>1</v>
      </c>
      <c r="H439">
        <v>1</v>
      </c>
      <c r="I439" s="2">
        <v>10</v>
      </c>
      <c r="J439" t="s">
        <v>354</v>
      </c>
      <c r="K439" t="s">
        <v>355</v>
      </c>
      <c r="L439" t="s">
        <v>89</v>
      </c>
      <c r="M439" t="s">
        <v>23</v>
      </c>
    </row>
    <row r="440" spans="2:13" ht="14.25" customHeight="1" x14ac:dyDescent="0.3">
      <c r="B440" s="3"/>
      <c r="C440" t="s">
        <v>19</v>
      </c>
      <c r="D440">
        <v>50.3</v>
      </c>
      <c r="E440">
        <v>43.3</v>
      </c>
      <c r="F440">
        <v>2</v>
      </c>
      <c r="G440">
        <v>1</v>
      </c>
      <c r="H440">
        <v>1</v>
      </c>
      <c r="I440" s="2">
        <v>6</v>
      </c>
      <c r="J440" t="s">
        <v>354</v>
      </c>
      <c r="K440" t="s">
        <v>412</v>
      </c>
      <c r="L440" t="s">
        <v>32</v>
      </c>
      <c r="M440" t="s">
        <v>33</v>
      </c>
    </row>
    <row r="441" spans="2:13" ht="14.25" customHeight="1" x14ac:dyDescent="0.3">
      <c r="B441" s="3"/>
      <c r="C441" t="s">
        <v>413</v>
      </c>
      <c r="D441">
        <v>50.6</v>
      </c>
      <c r="E441">
        <v>35.4</v>
      </c>
      <c r="F441">
        <v>5</v>
      </c>
      <c r="G441">
        <v>45</v>
      </c>
      <c r="H441">
        <v>1</v>
      </c>
      <c r="I441" s="2">
        <v>15.8</v>
      </c>
      <c r="J441" t="s">
        <v>414</v>
      </c>
      <c r="K441" t="s">
        <v>412</v>
      </c>
      <c r="L441" t="s">
        <v>32</v>
      </c>
      <c r="M441" t="s">
        <v>33</v>
      </c>
    </row>
    <row r="442" spans="2:13" ht="14.25" customHeight="1" x14ac:dyDescent="0.3">
      <c r="B442" s="3"/>
      <c r="C442" t="s">
        <v>413</v>
      </c>
      <c r="D442">
        <v>50.6</v>
      </c>
      <c r="E442">
        <v>35.4</v>
      </c>
      <c r="F442">
        <v>5</v>
      </c>
      <c r="G442">
        <v>45</v>
      </c>
      <c r="H442">
        <v>1</v>
      </c>
      <c r="I442" s="2">
        <f>18.33+90/G442</f>
        <v>20.329999999999998</v>
      </c>
      <c r="J442" t="s">
        <v>414</v>
      </c>
      <c r="K442" t="s">
        <v>415</v>
      </c>
      <c r="L442" t="s">
        <v>27</v>
      </c>
      <c r="M442" t="s">
        <v>33</v>
      </c>
    </row>
    <row r="443" spans="2:13" ht="14.25" customHeight="1" x14ac:dyDescent="0.3">
      <c r="B443" s="3"/>
      <c r="C443" t="s">
        <v>413</v>
      </c>
      <c r="D443">
        <v>50.6</v>
      </c>
      <c r="E443">
        <v>35.4</v>
      </c>
      <c r="F443">
        <v>5</v>
      </c>
      <c r="G443">
        <v>45</v>
      </c>
      <c r="H443">
        <v>1</v>
      </c>
      <c r="I443" s="2">
        <f>22.32+90/G443</f>
        <v>24.32</v>
      </c>
      <c r="J443" t="s">
        <v>414</v>
      </c>
      <c r="K443" t="s">
        <v>416</v>
      </c>
      <c r="L443" t="s">
        <v>27</v>
      </c>
      <c r="M443" t="s">
        <v>33</v>
      </c>
    </row>
    <row r="444" spans="2:13" ht="14.25" customHeight="1" x14ac:dyDescent="0.3">
      <c r="B444" s="3"/>
      <c r="C444" t="s">
        <v>413</v>
      </c>
      <c r="D444">
        <v>50.6</v>
      </c>
      <c r="E444">
        <v>35.4</v>
      </c>
      <c r="F444">
        <v>20.3</v>
      </c>
      <c r="G444">
        <v>45</v>
      </c>
      <c r="H444">
        <v>1</v>
      </c>
      <c r="I444" s="2">
        <f>40.25+190/G444</f>
        <v>44.472222222222221</v>
      </c>
      <c r="J444" t="s">
        <v>414</v>
      </c>
      <c r="K444" t="s">
        <v>417</v>
      </c>
      <c r="L444" t="s">
        <v>27</v>
      </c>
      <c r="M444" t="s">
        <v>33</v>
      </c>
    </row>
    <row r="445" spans="2:13" ht="14.25" customHeight="1" x14ac:dyDescent="0.3">
      <c r="B445" s="3"/>
      <c r="C445" t="s">
        <v>413</v>
      </c>
      <c r="D445">
        <v>50.6</v>
      </c>
      <c r="E445">
        <v>35.4</v>
      </c>
      <c r="F445">
        <v>20.3</v>
      </c>
      <c r="G445">
        <v>45</v>
      </c>
      <c r="H445">
        <v>1</v>
      </c>
      <c r="I445" s="2">
        <f>66.43+190/G445</f>
        <v>70.652222222222235</v>
      </c>
      <c r="J445" t="s">
        <v>414</v>
      </c>
      <c r="K445" t="s">
        <v>415</v>
      </c>
      <c r="L445" t="s">
        <v>27</v>
      </c>
      <c r="M445" t="s">
        <v>33</v>
      </c>
    </row>
    <row r="446" spans="2:13" ht="14.25" customHeight="1" x14ac:dyDescent="0.3">
      <c r="B446" s="3"/>
      <c r="C446" t="s">
        <v>413</v>
      </c>
      <c r="D446">
        <v>50.6</v>
      </c>
      <c r="E446">
        <v>35.4</v>
      </c>
      <c r="F446">
        <v>20.3</v>
      </c>
      <c r="G446">
        <v>45</v>
      </c>
      <c r="H446">
        <v>1</v>
      </c>
      <c r="I446" s="2">
        <f>86.42+190/G446</f>
        <v>90.64222222222223</v>
      </c>
      <c r="J446" t="s">
        <v>414</v>
      </c>
      <c r="K446" t="s">
        <v>416</v>
      </c>
      <c r="L446" t="s">
        <v>27</v>
      </c>
      <c r="M446" t="s">
        <v>51</v>
      </c>
    </row>
    <row r="447" spans="2:13" ht="14.25" customHeight="1" x14ac:dyDescent="0.3">
      <c r="B447" s="3"/>
      <c r="C447" t="s">
        <v>413</v>
      </c>
      <c r="D447">
        <v>50.8</v>
      </c>
      <c r="E447">
        <v>35.6</v>
      </c>
      <c r="F447">
        <v>5.0999999999999996</v>
      </c>
      <c r="G447">
        <v>45</v>
      </c>
      <c r="H447">
        <v>1</v>
      </c>
      <c r="I447" s="2">
        <v>1.43</v>
      </c>
      <c r="J447" t="s">
        <v>361</v>
      </c>
      <c r="K447" t="s">
        <v>418</v>
      </c>
      <c r="L447" t="s">
        <v>32</v>
      </c>
      <c r="M447" t="s">
        <v>23</v>
      </c>
    </row>
    <row r="448" spans="2:13" ht="14.25" customHeight="1" x14ac:dyDescent="0.3">
      <c r="B448" s="3"/>
      <c r="C448" t="s">
        <v>319</v>
      </c>
      <c r="D448">
        <v>51.6</v>
      </c>
      <c r="E448">
        <v>4</v>
      </c>
      <c r="F448">
        <v>3</v>
      </c>
      <c r="G448">
        <v>50</v>
      </c>
      <c r="H448">
        <v>1</v>
      </c>
      <c r="I448" s="2">
        <v>0.5</v>
      </c>
      <c r="J448" t="s">
        <v>381</v>
      </c>
      <c r="K448" t="s">
        <v>419</v>
      </c>
      <c r="L448" t="s">
        <v>22</v>
      </c>
      <c r="M448" t="s">
        <v>28</v>
      </c>
    </row>
    <row r="449" spans="2:13" ht="14.25" customHeight="1" x14ac:dyDescent="0.3">
      <c r="B449" s="3"/>
      <c r="C449" t="s">
        <v>319</v>
      </c>
      <c r="D449">
        <v>51.6</v>
      </c>
      <c r="E449">
        <v>4</v>
      </c>
      <c r="F449">
        <v>3</v>
      </c>
      <c r="G449">
        <v>50</v>
      </c>
      <c r="H449">
        <v>1</v>
      </c>
      <c r="I449" s="2">
        <v>1.3</v>
      </c>
      <c r="J449" t="s">
        <v>379</v>
      </c>
      <c r="K449" t="s">
        <v>420</v>
      </c>
      <c r="L449" t="s">
        <v>22</v>
      </c>
      <c r="M449" t="s">
        <v>51</v>
      </c>
    </row>
    <row r="450" spans="2:13" ht="14.25" customHeight="1" x14ac:dyDescent="0.3">
      <c r="B450" s="3"/>
      <c r="C450" t="s">
        <v>120</v>
      </c>
      <c r="D450">
        <v>52</v>
      </c>
      <c r="E450">
        <v>29</v>
      </c>
      <c r="F450">
        <v>2.5</v>
      </c>
      <c r="G450">
        <v>1</v>
      </c>
      <c r="H450">
        <v>1</v>
      </c>
      <c r="I450" s="2">
        <v>0.55000000000000004</v>
      </c>
      <c r="J450" t="s">
        <v>356</v>
      </c>
      <c r="K450" t="s">
        <v>418</v>
      </c>
      <c r="L450" t="s">
        <v>32</v>
      </c>
      <c r="M450" t="s">
        <v>23</v>
      </c>
    </row>
    <row r="451" spans="2:13" ht="14.25" customHeight="1" x14ac:dyDescent="0.3">
      <c r="B451" s="3"/>
      <c r="C451" t="s">
        <v>256</v>
      </c>
      <c r="D451">
        <v>53.1</v>
      </c>
      <c r="E451">
        <v>8</v>
      </c>
      <c r="F451">
        <v>1</v>
      </c>
      <c r="G451">
        <v>2</v>
      </c>
      <c r="H451">
        <v>1</v>
      </c>
      <c r="I451" s="2">
        <v>0.7</v>
      </c>
      <c r="J451" t="s">
        <v>354</v>
      </c>
      <c r="K451" t="s">
        <v>421</v>
      </c>
      <c r="L451" t="s">
        <v>89</v>
      </c>
      <c r="M451" t="s">
        <v>23</v>
      </c>
    </row>
    <row r="452" spans="2:13" ht="14.25" customHeight="1" x14ac:dyDescent="0.3">
      <c r="B452" s="3"/>
      <c r="C452" t="s">
        <v>256</v>
      </c>
      <c r="D452">
        <v>53.1</v>
      </c>
      <c r="E452">
        <v>14</v>
      </c>
      <c r="F452">
        <v>1</v>
      </c>
      <c r="G452">
        <v>1</v>
      </c>
      <c r="H452">
        <v>1</v>
      </c>
      <c r="I452" s="2">
        <v>1.4</v>
      </c>
      <c r="J452" t="s">
        <v>354</v>
      </c>
      <c r="K452" t="s">
        <v>421</v>
      </c>
      <c r="L452" t="s">
        <v>89</v>
      </c>
      <c r="M452" t="s">
        <v>23</v>
      </c>
    </row>
    <row r="453" spans="2:13" ht="14.25" customHeight="1" x14ac:dyDescent="0.3">
      <c r="B453" s="3"/>
      <c r="C453" t="s">
        <v>256</v>
      </c>
      <c r="D453">
        <v>53.1</v>
      </c>
      <c r="E453">
        <v>14.5</v>
      </c>
      <c r="F453">
        <v>2</v>
      </c>
      <c r="G453">
        <v>1</v>
      </c>
      <c r="H453">
        <v>1</v>
      </c>
      <c r="I453" s="2">
        <v>6</v>
      </c>
      <c r="J453" t="s">
        <v>354</v>
      </c>
      <c r="K453" t="s">
        <v>422</v>
      </c>
      <c r="L453" t="s">
        <v>32</v>
      </c>
      <c r="M453" t="s">
        <v>23</v>
      </c>
    </row>
    <row r="454" spans="2:13" ht="14.25" customHeight="1" x14ac:dyDescent="0.3">
      <c r="B454" s="3"/>
      <c r="C454" t="s">
        <v>256</v>
      </c>
      <c r="D454">
        <v>53.1</v>
      </c>
      <c r="E454">
        <v>14.5</v>
      </c>
      <c r="F454">
        <v>4</v>
      </c>
      <c r="G454">
        <v>1</v>
      </c>
      <c r="H454">
        <v>1</v>
      </c>
      <c r="I454" s="2">
        <v>5</v>
      </c>
      <c r="J454" t="s">
        <v>354</v>
      </c>
      <c r="K454" t="s">
        <v>212</v>
      </c>
      <c r="L454" t="s">
        <v>32</v>
      </c>
      <c r="M454" t="s">
        <v>23</v>
      </c>
    </row>
    <row r="455" spans="2:13" ht="14.25" customHeight="1" x14ac:dyDescent="0.3">
      <c r="B455" s="3"/>
      <c r="C455" t="s">
        <v>423</v>
      </c>
      <c r="D455">
        <v>53.2</v>
      </c>
      <c r="E455">
        <v>5</v>
      </c>
      <c r="F455">
        <v>2</v>
      </c>
      <c r="G455">
        <v>4</v>
      </c>
      <c r="H455">
        <v>1</v>
      </c>
      <c r="I455" s="2">
        <v>0.56000000000000005</v>
      </c>
      <c r="J455" t="s">
        <v>240</v>
      </c>
      <c r="K455" t="s">
        <v>421</v>
      </c>
      <c r="L455" t="s">
        <v>32</v>
      </c>
      <c r="M455" t="s">
        <v>23</v>
      </c>
    </row>
    <row r="456" spans="2:13" ht="14.25" customHeight="1" x14ac:dyDescent="0.3">
      <c r="B456" s="3"/>
      <c r="C456" t="s">
        <v>423</v>
      </c>
      <c r="D456">
        <v>53.5</v>
      </c>
      <c r="E456">
        <v>5</v>
      </c>
      <c r="F456">
        <v>2</v>
      </c>
      <c r="G456">
        <v>4</v>
      </c>
      <c r="H456">
        <v>1</v>
      </c>
      <c r="I456" s="2">
        <v>0.56000000000000005</v>
      </c>
      <c r="J456" t="s">
        <v>240</v>
      </c>
      <c r="K456" t="s">
        <v>421</v>
      </c>
      <c r="L456" t="s">
        <v>32</v>
      </c>
      <c r="M456" t="s">
        <v>23</v>
      </c>
    </row>
    <row r="457" spans="2:13" ht="14.25" customHeight="1" x14ac:dyDescent="0.3">
      <c r="B457" s="3"/>
      <c r="C457" t="s">
        <v>292</v>
      </c>
      <c r="D457">
        <v>53.08</v>
      </c>
      <c r="E457">
        <v>45</v>
      </c>
      <c r="F457">
        <v>7</v>
      </c>
      <c r="G457">
        <v>1</v>
      </c>
      <c r="H457">
        <v>1</v>
      </c>
      <c r="I457" s="2">
        <v>20.9</v>
      </c>
      <c r="J457" t="s">
        <v>295</v>
      </c>
      <c r="K457" t="s">
        <v>424</v>
      </c>
      <c r="L457" t="s">
        <v>89</v>
      </c>
      <c r="M457" t="s">
        <v>33</v>
      </c>
    </row>
    <row r="458" spans="2:13" ht="14.25" customHeight="1" x14ac:dyDescent="0.3">
      <c r="B458" s="3"/>
      <c r="C458" t="s">
        <v>292</v>
      </c>
      <c r="D458">
        <v>53.08</v>
      </c>
      <c r="E458">
        <v>45</v>
      </c>
      <c r="F458">
        <v>7</v>
      </c>
      <c r="G458">
        <v>1</v>
      </c>
      <c r="H458">
        <v>1</v>
      </c>
      <c r="I458" s="2">
        <v>93.33</v>
      </c>
      <c r="J458" t="s">
        <v>293</v>
      </c>
      <c r="K458" t="s">
        <v>425</v>
      </c>
      <c r="L458" t="s">
        <v>89</v>
      </c>
      <c r="M458" t="s">
        <v>51</v>
      </c>
    </row>
    <row r="459" spans="2:13" ht="14.25" customHeight="1" x14ac:dyDescent="0.3">
      <c r="B459" s="3"/>
      <c r="C459" t="s">
        <v>19</v>
      </c>
      <c r="D459">
        <v>53.8</v>
      </c>
      <c r="E459">
        <v>40.5</v>
      </c>
      <c r="F459">
        <v>3</v>
      </c>
      <c r="G459">
        <v>12</v>
      </c>
      <c r="H459">
        <v>1</v>
      </c>
      <c r="I459" s="2">
        <v>1.43</v>
      </c>
      <c r="J459" t="s">
        <v>110</v>
      </c>
      <c r="K459" t="s">
        <v>212</v>
      </c>
      <c r="L459" t="s">
        <v>32</v>
      </c>
      <c r="M459" t="s">
        <v>23</v>
      </c>
    </row>
    <row r="460" spans="2:13" ht="14.25" customHeight="1" x14ac:dyDescent="0.3">
      <c r="B460" s="3"/>
      <c r="C460" t="s">
        <v>124</v>
      </c>
      <c r="D460">
        <v>54</v>
      </c>
      <c r="E460">
        <v>16</v>
      </c>
      <c r="F460">
        <v>2</v>
      </c>
      <c r="G460">
        <v>14</v>
      </c>
      <c r="H460">
        <v>1</v>
      </c>
      <c r="I460" s="2">
        <v>2.2400000000000002</v>
      </c>
      <c r="J460" t="s">
        <v>125</v>
      </c>
      <c r="K460" t="s">
        <v>126</v>
      </c>
      <c r="L460" t="s">
        <v>127</v>
      </c>
      <c r="M460" t="s">
        <v>51</v>
      </c>
    </row>
    <row r="461" spans="2:13" ht="14.25" customHeight="1" x14ac:dyDescent="0.3">
      <c r="B461" s="3"/>
      <c r="C461" t="s">
        <v>120</v>
      </c>
      <c r="D461">
        <v>54</v>
      </c>
      <c r="E461">
        <v>40</v>
      </c>
      <c r="F461">
        <v>3</v>
      </c>
      <c r="G461">
        <v>1</v>
      </c>
      <c r="H461">
        <v>1</v>
      </c>
      <c r="I461" s="2">
        <v>0.95</v>
      </c>
      <c r="J461" t="s">
        <v>356</v>
      </c>
      <c r="K461" t="s">
        <v>426</v>
      </c>
      <c r="L461" t="s">
        <v>32</v>
      </c>
      <c r="M461" t="s">
        <v>23</v>
      </c>
    </row>
    <row r="462" spans="2:13" ht="14.25" customHeight="1" x14ac:dyDescent="0.3">
      <c r="B462" s="3"/>
      <c r="C462" t="s">
        <v>241</v>
      </c>
      <c r="D462">
        <v>54.7</v>
      </c>
      <c r="E462">
        <v>45.5</v>
      </c>
      <c r="F462">
        <v>1</v>
      </c>
      <c r="G462">
        <v>4</v>
      </c>
      <c r="H462">
        <v>1</v>
      </c>
      <c r="I462" s="2">
        <v>3.33</v>
      </c>
      <c r="J462" t="s">
        <v>192</v>
      </c>
      <c r="K462" t="s">
        <v>273</v>
      </c>
      <c r="L462" t="s">
        <v>89</v>
      </c>
      <c r="M462" t="s">
        <v>23</v>
      </c>
    </row>
    <row r="463" spans="2:13" ht="14.25" customHeight="1" x14ac:dyDescent="0.3">
      <c r="B463" s="3"/>
      <c r="C463" t="s">
        <v>427</v>
      </c>
      <c r="D463">
        <v>55</v>
      </c>
      <c r="E463">
        <v>55</v>
      </c>
      <c r="F463">
        <v>5.5</v>
      </c>
      <c r="G463">
        <v>4</v>
      </c>
      <c r="H463">
        <v>1</v>
      </c>
      <c r="I463" s="2">
        <v>12.26</v>
      </c>
      <c r="J463" t="s">
        <v>428</v>
      </c>
      <c r="K463" t="s">
        <v>429</v>
      </c>
      <c r="L463" t="s">
        <v>32</v>
      </c>
      <c r="M463" t="s">
        <v>23</v>
      </c>
    </row>
    <row r="464" spans="2:13" ht="14.25" customHeight="1" x14ac:dyDescent="0.3">
      <c r="B464" s="3"/>
      <c r="C464" t="s">
        <v>427</v>
      </c>
      <c r="D464">
        <v>55</v>
      </c>
      <c r="E464">
        <v>55</v>
      </c>
      <c r="F464">
        <v>8</v>
      </c>
      <c r="G464">
        <v>4</v>
      </c>
      <c r="H464">
        <v>1</v>
      </c>
      <c r="I464" s="2">
        <v>53.28</v>
      </c>
      <c r="J464" t="s">
        <v>428</v>
      </c>
      <c r="K464" t="s">
        <v>271</v>
      </c>
      <c r="L464" t="s">
        <v>27</v>
      </c>
      <c r="M464" t="s">
        <v>23</v>
      </c>
    </row>
    <row r="465" spans="2:13" ht="14.25" customHeight="1" x14ac:dyDescent="0.3">
      <c r="B465" s="3"/>
      <c r="C465" t="s">
        <v>427</v>
      </c>
      <c r="D465">
        <v>55</v>
      </c>
      <c r="E465">
        <v>55</v>
      </c>
      <c r="F465">
        <v>10</v>
      </c>
      <c r="G465">
        <v>20</v>
      </c>
      <c r="H465">
        <v>1</v>
      </c>
      <c r="I465" s="2">
        <v>53.28</v>
      </c>
      <c r="J465" t="s">
        <v>428</v>
      </c>
      <c r="K465" t="s">
        <v>271</v>
      </c>
      <c r="L465" t="s">
        <v>27</v>
      </c>
      <c r="M465" t="s">
        <v>23</v>
      </c>
    </row>
    <row r="466" spans="2:13" ht="14.25" customHeight="1" x14ac:dyDescent="0.3">
      <c r="B466" s="3"/>
      <c r="C466" t="s">
        <v>241</v>
      </c>
      <c r="D466">
        <v>55.5</v>
      </c>
      <c r="E466">
        <v>12.2</v>
      </c>
      <c r="F466">
        <v>1</v>
      </c>
      <c r="G466">
        <v>2</v>
      </c>
      <c r="H466">
        <v>1</v>
      </c>
      <c r="I466" s="2">
        <v>1</v>
      </c>
      <c r="J466" t="s">
        <v>192</v>
      </c>
      <c r="K466" t="s">
        <v>273</v>
      </c>
      <c r="L466" t="s">
        <v>89</v>
      </c>
      <c r="M466" t="s">
        <v>23</v>
      </c>
    </row>
    <row r="467" spans="2:13" ht="14.25" customHeight="1" x14ac:dyDescent="0.3">
      <c r="B467" s="3"/>
      <c r="C467" t="s">
        <v>241</v>
      </c>
      <c r="D467">
        <v>55.7</v>
      </c>
      <c r="E467">
        <v>26.2</v>
      </c>
      <c r="F467">
        <v>2</v>
      </c>
      <c r="G467">
        <v>2</v>
      </c>
      <c r="H467">
        <v>1</v>
      </c>
      <c r="I467" s="2">
        <v>4.4000000000000004</v>
      </c>
      <c r="J467" t="s">
        <v>192</v>
      </c>
      <c r="K467" t="s">
        <v>273</v>
      </c>
      <c r="L467" t="s">
        <v>89</v>
      </c>
      <c r="M467" t="s">
        <v>23</v>
      </c>
    </row>
    <row r="468" spans="2:13" ht="14.25" customHeight="1" x14ac:dyDescent="0.3">
      <c r="B468" s="3"/>
      <c r="C468" t="s">
        <v>241</v>
      </c>
      <c r="D468">
        <v>56</v>
      </c>
      <c r="E468">
        <v>13.1</v>
      </c>
      <c r="F468">
        <v>2</v>
      </c>
      <c r="G468">
        <v>8</v>
      </c>
      <c r="H468">
        <v>1</v>
      </c>
      <c r="I468" s="2">
        <v>1.3</v>
      </c>
      <c r="J468" t="s">
        <v>3</v>
      </c>
      <c r="K468" t="s">
        <v>273</v>
      </c>
      <c r="L468" t="s">
        <v>89</v>
      </c>
      <c r="M468" t="s">
        <v>28</v>
      </c>
    </row>
    <row r="469" spans="2:13" ht="14.25" customHeight="1" x14ac:dyDescent="0.3">
      <c r="B469" s="3"/>
      <c r="C469" t="s">
        <v>397</v>
      </c>
      <c r="D469">
        <v>56</v>
      </c>
      <c r="E469">
        <v>14</v>
      </c>
      <c r="F469">
        <v>4</v>
      </c>
      <c r="G469">
        <v>50</v>
      </c>
      <c r="H469">
        <v>1</v>
      </c>
      <c r="I469" s="2">
        <v>2.77</v>
      </c>
      <c r="J469" t="s">
        <v>430</v>
      </c>
      <c r="K469" t="s">
        <v>431</v>
      </c>
      <c r="L469" t="s">
        <v>22</v>
      </c>
      <c r="M469" t="s">
        <v>33</v>
      </c>
    </row>
    <row r="470" spans="2:13" ht="14.25" customHeight="1" x14ac:dyDescent="0.3">
      <c r="B470" s="3"/>
      <c r="C470" t="s">
        <v>397</v>
      </c>
      <c r="D470">
        <v>56</v>
      </c>
      <c r="E470">
        <v>14</v>
      </c>
      <c r="F470">
        <v>4</v>
      </c>
      <c r="G470">
        <v>50</v>
      </c>
      <c r="H470">
        <v>1</v>
      </c>
      <c r="I470" s="2">
        <v>4.0999999999999996</v>
      </c>
      <c r="J470" t="s">
        <v>432</v>
      </c>
      <c r="K470" t="s">
        <v>431</v>
      </c>
      <c r="L470" t="s">
        <v>22</v>
      </c>
      <c r="M470" t="s">
        <v>23</v>
      </c>
    </row>
    <row r="471" spans="2:13" ht="14.25" customHeight="1" x14ac:dyDescent="0.3">
      <c r="B471" s="3"/>
      <c r="C471" t="s">
        <v>397</v>
      </c>
      <c r="D471">
        <v>56</v>
      </c>
      <c r="E471">
        <v>14</v>
      </c>
      <c r="F471">
        <v>4</v>
      </c>
      <c r="G471">
        <v>100</v>
      </c>
      <c r="H471">
        <v>1</v>
      </c>
      <c r="I471" s="2">
        <v>1.6</v>
      </c>
      <c r="J471" t="s">
        <v>432</v>
      </c>
      <c r="K471" t="s">
        <v>431</v>
      </c>
      <c r="L471" t="s">
        <v>22</v>
      </c>
      <c r="M471" t="s">
        <v>28</v>
      </c>
    </row>
    <row r="472" spans="2:13" ht="14.25" customHeight="1" x14ac:dyDescent="0.3">
      <c r="B472" s="3"/>
      <c r="C472" t="s">
        <v>397</v>
      </c>
      <c r="D472">
        <v>56</v>
      </c>
      <c r="E472">
        <v>14</v>
      </c>
      <c r="F472">
        <v>4</v>
      </c>
      <c r="G472">
        <v>300</v>
      </c>
      <c r="H472">
        <v>1</v>
      </c>
      <c r="I472" s="2">
        <v>1.5</v>
      </c>
      <c r="J472" t="s">
        <v>432</v>
      </c>
      <c r="K472" t="s">
        <v>431</v>
      </c>
      <c r="L472" t="s">
        <v>22</v>
      </c>
      <c r="M472" t="s">
        <v>28</v>
      </c>
    </row>
    <row r="473" spans="2:13" ht="14.25" customHeight="1" x14ac:dyDescent="0.3">
      <c r="B473" s="3"/>
      <c r="C473" t="s">
        <v>397</v>
      </c>
      <c r="D473">
        <v>56</v>
      </c>
      <c r="E473">
        <v>14</v>
      </c>
      <c r="F473">
        <v>4</v>
      </c>
      <c r="G473">
        <v>300</v>
      </c>
      <c r="H473">
        <v>1</v>
      </c>
      <c r="I473" s="2">
        <v>1.3420000000000001</v>
      </c>
      <c r="J473" t="s">
        <v>432</v>
      </c>
      <c r="K473" t="s">
        <v>431</v>
      </c>
      <c r="L473" t="s">
        <v>22</v>
      </c>
      <c r="M473" t="s">
        <v>23</v>
      </c>
    </row>
    <row r="474" spans="2:13" ht="14.25" customHeight="1" x14ac:dyDescent="0.3">
      <c r="B474" s="3"/>
      <c r="C474" t="s">
        <v>241</v>
      </c>
      <c r="D474">
        <v>56</v>
      </c>
      <c r="E474">
        <v>40</v>
      </c>
      <c r="F474">
        <v>4</v>
      </c>
      <c r="G474">
        <v>8</v>
      </c>
      <c r="H474">
        <v>1</v>
      </c>
      <c r="I474" s="2">
        <v>9.0500000000000007</v>
      </c>
      <c r="J474" t="s">
        <v>3</v>
      </c>
      <c r="K474" t="s">
        <v>273</v>
      </c>
      <c r="L474" t="s">
        <v>89</v>
      </c>
      <c r="M474" t="s">
        <v>23</v>
      </c>
    </row>
    <row r="475" spans="2:13" ht="14.25" customHeight="1" x14ac:dyDescent="0.3">
      <c r="B475" s="3"/>
      <c r="C475" t="s">
        <v>344</v>
      </c>
      <c r="D475">
        <v>56.8</v>
      </c>
      <c r="E475">
        <v>5</v>
      </c>
      <c r="F475">
        <v>1</v>
      </c>
      <c r="G475">
        <v>4</v>
      </c>
      <c r="H475">
        <v>1</v>
      </c>
      <c r="I475" s="2">
        <v>0.6</v>
      </c>
      <c r="J475" t="s">
        <v>345</v>
      </c>
      <c r="K475" t="s">
        <v>273</v>
      </c>
      <c r="L475" t="s">
        <v>89</v>
      </c>
      <c r="M475" t="s">
        <v>23</v>
      </c>
    </row>
    <row r="476" spans="2:13" ht="14.25" customHeight="1" x14ac:dyDescent="0.3">
      <c r="B476" s="3"/>
      <c r="C476" t="s">
        <v>344</v>
      </c>
      <c r="D476">
        <v>56.8</v>
      </c>
      <c r="E476">
        <v>57</v>
      </c>
      <c r="F476">
        <v>1</v>
      </c>
      <c r="G476">
        <v>4</v>
      </c>
      <c r="H476">
        <v>1</v>
      </c>
      <c r="I476" s="2">
        <v>6.6</v>
      </c>
      <c r="J476" t="s">
        <v>345</v>
      </c>
      <c r="K476" t="s">
        <v>273</v>
      </c>
      <c r="L476" t="s">
        <v>89</v>
      </c>
      <c r="M476" t="s">
        <v>23</v>
      </c>
    </row>
    <row r="477" spans="2:13" ht="14.25" customHeight="1" x14ac:dyDescent="0.3">
      <c r="B477" s="3"/>
      <c r="C477" t="s">
        <v>344</v>
      </c>
      <c r="D477">
        <v>57</v>
      </c>
      <c r="E477">
        <v>42.3</v>
      </c>
      <c r="F477">
        <v>1</v>
      </c>
      <c r="G477">
        <v>4</v>
      </c>
      <c r="H477">
        <v>1</v>
      </c>
      <c r="I477" s="2">
        <v>3.4</v>
      </c>
      <c r="J477" t="s">
        <v>345</v>
      </c>
      <c r="K477" t="s">
        <v>273</v>
      </c>
      <c r="L477" t="s">
        <v>89</v>
      </c>
      <c r="M477" t="s">
        <v>51</v>
      </c>
    </row>
    <row r="478" spans="2:13" ht="14.25" customHeight="1" x14ac:dyDescent="0.3">
      <c r="B478" s="3"/>
      <c r="C478" t="s">
        <v>120</v>
      </c>
      <c r="D478">
        <v>57</v>
      </c>
      <c r="E478">
        <v>46</v>
      </c>
      <c r="F478">
        <v>11.5</v>
      </c>
      <c r="G478">
        <v>1</v>
      </c>
      <c r="H478">
        <v>1</v>
      </c>
      <c r="I478" s="2">
        <v>4.4000000000000004</v>
      </c>
      <c r="J478" t="s">
        <v>356</v>
      </c>
      <c r="K478" t="s">
        <v>426</v>
      </c>
      <c r="L478" t="s">
        <v>32</v>
      </c>
      <c r="M478" t="s">
        <v>51</v>
      </c>
    </row>
    <row r="479" spans="2:13" ht="14.25" customHeight="1" x14ac:dyDescent="0.3">
      <c r="B479" s="3"/>
      <c r="C479" t="s">
        <v>120</v>
      </c>
      <c r="D479">
        <v>57</v>
      </c>
      <c r="E479">
        <v>46</v>
      </c>
      <c r="F479">
        <v>13</v>
      </c>
      <c r="G479">
        <v>1</v>
      </c>
      <c r="H479">
        <v>1</v>
      </c>
      <c r="I479" s="2">
        <v>4.9800000000000004</v>
      </c>
      <c r="J479" t="s">
        <v>356</v>
      </c>
      <c r="K479" t="s">
        <v>426</v>
      </c>
      <c r="L479" t="s">
        <v>32</v>
      </c>
      <c r="M479" t="s">
        <v>23</v>
      </c>
    </row>
    <row r="480" spans="2:13" ht="14.25" customHeight="1" x14ac:dyDescent="0.3">
      <c r="B480" s="3"/>
      <c r="C480" t="s">
        <v>433</v>
      </c>
      <c r="D480">
        <v>57.1</v>
      </c>
      <c r="E480">
        <v>6</v>
      </c>
      <c r="F480">
        <v>1</v>
      </c>
      <c r="G480">
        <v>6</v>
      </c>
      <c r="H480">
        <v>1</v>
      </c>
      <c r="I480" s="2">
        <v>0.2</v>
      </c>
      <c r="J480" t="s">
        <v>203</v>
      </c>
      <c r="K480" t="s">
        <v>273</v>
      </c>
      <c r="L480" t="s">
        <v>89</v>
      </c>
      <c r="M480" t="s">
        <v>23</v>
      </c>
    </row>
    <row r="481" spans="2:13" ht="14.25" customHeight="1" x14ac:dyDescent="0.3">
      <c r="B481" s="3"/>
      <c r="C481" t="s">
        <v>423</v>
      </c>
      <c r="D481">
        <v>57.5</v>
      </c>
      <c r="E481">
        <v>16</v>
      </c>
      <c r="F481">
        <v>2</v>
      </c>
      <c r="G481">
        <v>4</v>
      </c>
      <c r="H481">
        <v>1</v>
      </c>
      <c r="I481" s="2">
        <v>1.8</v>
      </c>
      <c r="J481" t="s">
        <v>240</v>
      </c>
      <c r="K481" t="s">
        <v>273</v>
      </c>
      <c r="L481" t="s">
        <v>89</v>
      </c>
      <c r="M481" t="s">
        <v>51</v>
      </c>
    </row>
    <row r="482" spans="2:13" ht="14.25" customHeight="1" x14ac:dyDescent="0.3">
      <c r="B482" s="3"/>
      <c r="C482" t="s">
        <v>360</v>
      </c>
      <c r="D482">
        <v>58</v>
      </c>
      <c r="E482">
        <v>44</v>
      </c>
      <c r="F482">
        <v>4</v>
      </c>
      <c r="G482">
        <v>1</v>
      </c>
      <c r="H482">
        <v>1</v>
      </c>
      <c r="I482" s="2">
        <v>1.7599</v>
      </c>
      <c r="J482" t="s">
        <v>361</v>
      </c>
      <c r="K482" t="s">
        <v>212</v>
      </c>
      <c r="L482" t="s">
        <v>32</v>
      </c>
      <c r="M482" t="s">
        <v>51</v>
      </c>
    </row>
    <row r="483" spans="2:13" ht="14.25" customHeight="1" x14ac:dyDescent="0.3">
      <c r="B483" s="3"/>
      <c r="C483" t="s">
        <v>357</v>
      </c>
      <c r="D483">
        <v>58</v>
      </c>
      <c r="E483">
        <v>44</v>
      </c>
      <c r="F483">
        <v>4</v>
      </c>
      <c r="G483">
        <v>1</v>
      </c>
      <c r="H483">
        <v>1</v>
      </c>
      <c r="I483" s="2">
        <v>1.76</v>
      </c>
      <c r="J483" t="s">
        <v>358</v>
      </c>
      <c r="K483" t="s">
        <v>212</v>
      </c>
      <c r="L483" t="s">
        <v>32</v>
      </c>
      <c r="M483" t="s">
        <v>23</v>
      </c>
    </row>
    <row r="484" spans="2:13" ht="14.25" customHeight="1" x14ac:dyDescent="0.3">
      <c r="B484" s="3"/>
      <c r="C484" t="s">
        <v>434</v>
      </c>
      <c r="D484">
        <v>58</v>
      </c>
      <c r="E484">
        <v>44</v>
      </c>
      <c r="F484">
        <v>6</v>
      </c>
      <c r="G484">
        <v>1</v>
      </c>
      <c r="H484">
        <v>1</v>
      </c>
      <c r="I484" s="2">
        <v>18.8</v>
      </c>
      <c r="J484" t="s">
        <v>435</v>
      </c>
      <c r="K484" t="s">
        <v>436</v>
      </c>
      <c r="L484" t="s">
        <v>89</v>
      </c>
      <c r="M484" t="s">
        <v>23</v>
      </c>
    </row>
    <row r="485" spans="2:13" ht="14.25" customHeight="1" x14ac:dyDescent="0.3">
      <c r="B485" s="3"/>
      <c r="C485" t="s">
        <v>202</v>
      </c>
      <c r="D485">
        <v>58.2</v>
      </c>
      <c r="E485">
        <v>11.5</v>
      </c>
      <c r="F485">
        <v>2</v>
      </c>
      <c r="G485">
        <v>18</v>
      </c>
      <c r="H485">
        <v>1</v>
      </c>
      <c r="I485" s="2">
        <v>1.38</v>
      </c>
      <c r="J485" t="s">
        <v>172</v>
      </c>
      <c r="K485" t="s">
        <v>273</v>
      </c>
      <c r="L485" t="s">
        <v>89</v>
      </c>
      <c r="M485" t="s">
        <v>23</v>
      </c>
    </row>
    <row r="486" spans="2:13" ht="14.25" customHeight="1" x14ac:dyDescent="0.3">
      <c r="B486" s="3"/>
      <c r="C486" t="s">
        <v>202</v>
      </c>
      <c r="D486">
        <v>58.2</v>
      </c>
      <c r="E486">
        <v>15</v>
      </c>
      <c r="F486">
        <v>3.2</v>
      </c>
      <c r="G486">
        <v>18</v>
      </c>
      <c r="H486">
        <v>1</v>
      </c>
      <c r="I486" s="2">
        <v>4.5</v>
      </c>
      <c r="J486" t="s">
        <v>204</v>
      </c>
      <c r="K486" t="s">
        <v>273</v>
      </c>
      <c r="L486" t="s">
        <v>89</v>
      </c>
      <c r="M486" t="s">
        <v>23</v>
      </c>
    </row>
    <row r="487" spans="2:13" ht="14.25" customHeight="1" x14ac:dyDescent="0.3">
      <c r="B487" s="3"/>
      <c r="C487" t="s">
        <v>202</v>
      </c>
      <c r="D487">
        <v>58.2</v>
      </c>
      <c r="E487">
        <v>38</v>
      </c>
      <c r="F487">
        <v>1</v>
      </c>
      <c r="G487">
        <v>18</v>
      </c>
      <c r="H487">
        <v>1</v>
      </c>
      <c r="I487" s="2">
        <v>3.4</v>
      </c>
      <c r="J487" t="s">
        <v>204</v>
      </c>
      <c r="K487" t="s">
        <v>437</v>
      </c>
      <c r="L487" t="s">
        <v>89</v>
      </c>
      <c r="M487" t="s">
        <v>23</v>
      </c>
    </row>
    <row r="488" spans="2:13" ht="14.25" customHeight="1" x14ac:dyDescent="0.3">
      <c r="B488" s="3"/>
      <c r="C488" t="s">
        <v>202</v>
      </c>
      <c r="D488">
        <v>58.2</v>
      </c>
      <c r="E488">
        <v>38</v>
      </c>
      <c r="F488">
        <v>2</v>
      </c>
      <c r="G488">
        <v>36</v>
      </c>
      <c r="H488">
        <v>1</v>
      </c>
      <c r="I488" s="2">
        <v>4.0999999999999996</v>
      </c>
      <c r="J488" t="s">
        <v>172</v>
      </c>
      <c r="K488" t="s">
        <v>437</v>
      </c>
      <c r="L488" t="s">
        <v>89</v>
      </c>
      <c r="M488" t="s">
        <v>23</v>
      </c>
    </row>
    <row r="489" spans="2:13" ht="14.25" customHeight="1" x14ac:dyDescent="0.3">
      <c r="B489" s="3"/>
      <c r="C489" t="s">
        <v>120</v>
      </c>
      <c r="D489">
        <v>58.3</v>
      </c>
      <c r="E489">
        <v>5.5</v>
      </c>
      <c r="F489">
        <v>1</v>
      </c>
      <c r="G489">
        <v>1</v>
      </c>
      <c r="H489">
        <v>1</v>
      </c>
      <c r="I489" s="2">
        <v>0.66</v>
      </c>
      <c r="J489" t="s">
        <v>438</v>
      </c>
      <c r="K489" t="s">
        <v>437</v>
      </c>
      <c r="L489" t="s">
        <v>89</v>
      </c>
      <c r="M489" t="s">
        <v>23</v>
      </c>
    </row>
    <row r="490" spans="2:13" ht="14.25" customHeight="1" x14ac:dyDescent="0.3">
      <c r="B490" s="3"/>
      <c r="C490" t="s">
        <v>202</v>
      </c>
      <c r="D490">
        <v>58.4</v>
      </c>
      <c r="E490">
        <v>14</v>
      </c>
      <c r="F490">
        <v>1</v>
      </c>
      <c r="G490">
        <v>2</v>
      </c>
      <c r="H490">
        <v>1</v>
      </c>
      <c r="I490" s="2">
        <v>1.4</v>
      </c>
      <c r="J490" t="s">
        <v>354</v>
      </c>
      <c r="K490" t="s">
        <v>437</v>
      </c>
      <c r="L490" t="s">
        <v>89</v>
      </c>
      <c r="M490" t="s">
        <v>23</v>
      </c>
    </row>
    <row r="491" spans="2:13" ht="14.25" customHeight="1" x14ac:dyDescent="0.3">
      <c r="B491" s="3"/>
      <c r="C491" t="s">
        <v>402</v>
      </c>
      <c r="D491">
        <v>58.5</v>
      </c>
      <c r="E491">
        <v>41</v>
      </c>
      <c r="F491">
        <v>4</v>
      </c>
      <c r="G491">
        <v>50</v>
      </c>
      <c r="H491">
        <v>2</v>
      </c>
      <c r="I491" s="2">
        <v>9.8000000000000007</v>
      </c>
      <c r="J491" t="s">
        <v>373</v>
      </c>
      <c r="K491" t="s">
        <v>403</v>
      </c>
      <c r="L491" t="s">
        <v>27</v>
      </c>
      <c r="M491" t="s">
        <v>23</v>
      </c>
    </row>
    <row r="492" spans="2:13" ht="14.25" customHeight="1" x14ac:dyDescent="0.3">
      <c r="B492" s="3"/>
      <c r="C492" t="s">
        <v>439</v>
      </c>
      <c r="D492">
        <v>58.8</v>
      </c>
      <c r="E492">
        <v>42.3</v>
      </c>
      <c r="F492">
        <v>1</v>
      </c>
      <c r="G492">
        <v>4</v>
      </c>
      <c r="H492">
        <v>1</v>
      </c>
      <c r="I492" s="2">
        <v>3.4</v>
      </c>
      <c r="J492" t="s">
        <v>440</v>
      </c>
      <c r="K492" t="s">
        <v>437</v>
      </c>
      <c r="L492" t="s">
        <v>89</v>
      </c>
      <c r="M492" t="s">
        <v>23</v>
      </c>
    </row>
    <row r="493" spans="2:13" ht="14.25" customHeight="1" x14ac:dyDescent="0.3">
      <c r="B493" s="3"/>
      <c r="C493" t="s">
        <v>42</v>
      </c>
      <c r="D493">
        <v>59</v>
      </c>
      <c r="E493">
        <v>46</v>
      </c>
      <c r="F493">
        <v>3</v>
      </c>
      <c r="G493">
        <v>50000</v>
      </c>
      <c r="H493">
        <v>1</v>
      </c>
      <c r="I493" s="2">
        <v>0.82</v>
      </c>
      <c r="J493" t="s">
        <v>441</v>
      </c>
      <c r="K493" t="s">
        <v>442</v>
      </c>
      <c r="L493" t="s">
        <v>89</v>
      </c>
      <c r="M493" t="s">
        <v>23</v>
      </c>
    </row>
    <row r="494" spans="2:13" ht="14.25" customHeight="1" x14ac:dyDescent="0.3">
      <c r="B494" s="3"/>
      <c r="C494" t="s">
        <v>443</v>
      </c>
      <c r="D494">
        <v>59.3</v>
      </c>
      <c r="E494">
        <v>25</v>
      </c>
      <c r="F494">
        <v>1</v>
      </c>
      <c r="G494">
        <v>1</v>
      </c>
      <c r="H494">
        <v>1</v>
      </c>
      <c r="I494" s="2">
        <v>1.98</v>
      </c>
      <c r="J494" t="s">
        <v>270</v>
      </c>
      <c r="K494" t="s">
        <v>437</v>
      </c>
      <c r="L494" t="s">
        <v>89</v>
      </c>
      <c r="M494" t="s">
        <v>23</v>
      </c>
    </row>
    <row r="495" spans="2:13" ht="14.25" customHeight="1" x14ac:dyDescent="0.3">
      <c r="B495" s="3"/>
      <c r="C495" t="s">
        <v>443</v>
      </c>
      <c r="D495">
        <v>59.3</v>
      </c>
      <c r="E495">
        <v>50.2</v>
      </c>
      <c r="F495">
        <v>1</v>
      </c>
      <c r="G495">
        <v>1</v>
      </c>
      <c r="H495">
        <v>1</v>
      </c>
      <c r="I495" s="2">
        <v>5.33</v>
      </c>
      <c r="J495" t="s">
        <v>270</v>
      </c>
      <c r="K495" t="s">
        <v>437</v>
      </c>
      <c r="L495" t="s">
        <v>89</v>
      </c>
      <c r="M495" t="s">
        <v>23</v>
      </c>
    </row>
    <row r="496" spans="2:13" ht="14.25" customHeight="1" x14ac:dyDescent="0.3">
      <c r="B496" s="3"/>
      <c r="C496" t="s">
        <v>256</v>
      </c>
      <c r="D496">
        <v>59.4</v>
      </c>
      <c r="E496">
        <v>8</v>
      </c>
      <c r="F496">
        <v>1</v>
      </c>
      <c r="G496">
        <v>2</v>
      </c>
      <c r="H496">
        <v>1</v>
      </c>
      <c r="I496" s="2">
        <v>0.7</v>
      </c>
      <c r="J496" t="s">
        <v>354</v>
      </c>
      <c r="K496" t="s">
        <v>437</v>
      </c>
      <c r="L496" t="s">
        <v>89</v>
      </c>
      <c r="M496" t="s">
        <v>23</v>
      </c>
    </row>
    <row r="497" spans="2:13" ht="14.25" customHeight="1" x14ac:dyDescent="0.3">
      <c r="B497" s="3"/>
      <c r="C497" t="s">
        <v>241</v>
      </c>
      <c r="D497">
        <v>60</v>
      </c>
      <c r="E497">
        <v>3.6</v>
      </c>
      <c r="F497">
        <v>1</v>
      </c>
      <c r="G497">
        <v>4</v>
      </c>
      <c r="H497">
        <v>1</v>
      </c>
      <c r="I497" s="2">
        <v>0.45</v>
      </c>
      <c r="J497" t="s">
        <v>192</v>
      </c>
      <c r="K497" t="s">
        <v>437</v>
      </c>
      <c r="L497" t="s">
        <v>89</v>
      </c>
      <c r="M497" t="s">
        <v>23</v>
      </c>
    </row>
    <row r="498" spans="2:13" ht="14.25" customHeight="1" x14ac:dyDescent="0.3">
      <c r="B498" s="3"/>
      <c r="C498" t="s">
        <v>241</v>
      </c>
      <c r="D498">
        <v>60</v>
      </c>
      <c r="E498">
        <v>21.2</v>
      </c>
      <c r="F498">
        <v>1</v>
      </c>
      <c r="G498">
        <v>4</v>
      </c>
      <c r="H498">
        <v>1</v>
      </c>
      <c r="I498" s="2">
        <v>1.67</v>
      </c>
      <c r="J498" t="s">
        <v>192</v>
      </c>
      <c r="K498" t="s">
        <v>437</v>
      </c>
      <c r="L498" t="s">
        <v>89</v>
      </c>
      <c r="M498" t="s">
        <v>33</v>
      </c>
    </row>
    <row r="499" spans="2:13" ht="14.25" customHeight="1" x14ac:dyDescent="0.3">
      <c r="B499" s="3"/>
      <c r="C499" t="s">
        <v>444</v>
      </c>
      <c r="D499">
        <v>60</v>
      </c>
      <c r="E499">
        <v>36</v>
      </c>
      <c r="F499">
        <v>6.5</v>
      </c>
      <c r="G499">
        <v>30</v>
      </c>
      <c r="H499">
        <v>1</v>
      </c>
      <c r="I499" s="2">
        <f>13.69</f>
        <v>13.69</v>
      </c>
      <c r="J499" t="s">
        <v>445</v>
      </c>
      <c r="K499" t="s">
        <v>446</v>
      </c>
      <c r="L499" t="s">
        <v>32</v>
      </c>
      <c r="M499" t="s">
        <v>51</v>
      </c>
    </row>
    <row r="500" spans="2:13" ht="14.25" customHeight="1" x14ac:dyDescent="0.3">
      <c r="B500" s="3"/>
      <c r="C500" t="s">
        <v>56</v>
      </c>
      <c r="D500">
        <v>60</v>
      </c>
      <c r="E500">
        <v>45</v>
      </c>
      <c r="F500">
        <v>40</v>
      </c>
      <c r="G500">
        <v>450</v>
      </c>
      <c r="H500">
        <v>1</v>
      </c>
      <c r="I500" s="2">
        <v>0.1</v>
      </c>
      <c r="J500" t="s">
        <v>30</v>
      </c>
      <c r="K500" t="s">
        <v>447</v>
      </c>
      <c r="L500" t="s">
        <v>40</v>
      </c>
      <c r="M500" t="s">
        <v>33</v>
      </c>
    </row>
    <row r="501" spans="2:13" ht="14.25" customHeight="1" x14ac:dyDescent="0.3">
      <c r="B501" s="3"/>
      <c r="C501" t="s">
        <v>56</v>
      </c>
      <c r="D501">
        <v>60</v>
      </c>
      <c r="E501">
        <v>45</v>
      </c>
      <c r="F501">
        <v>40</v>
      </c>
      <c r="G501">
        <v>450</v>
      </c>
      <c r="H501">
        <v>1</v>
      </c>
      <c r="I501" s="2">
        <f>0.866 + 180/450</f>
        <v>1.266</v>
      </c>
      <c r="J501" t="s">
        <v>60</v>
      </c>
      <c r="K501" t="s">
        <v>448</v>
      </c>
      <c r="L501" t="s">
        <v>32</v>
      </c>
      <c r="M501" t="s">
        <v>51</v>
      </c>
    </row>
    <row r="502" spans="2:13" ht="14.25" customHeight="1" x14ac:dyDescent="0.3">
      <c r="B502" s="3"/>
      <c r="C502" t="s">
        <v>56</v>
      </c>
      <c r="D502">
        <v>60</v>
      </c>
      <c r="E502">
        <v>45</v>
      </c>
      <c r="F502">
        <v>40</v>
      </c>
      <c r="G502">
        <v>550</v>
      </c>
      <c r="H502">
        <v>1</v>
      </c>
      <c r="I502" s="2">
        <v>0.1</v>
      </c>
      <c r="J502" t="s">
        <v>30</v>
      </c>
      <c r="K502" t="s">
        <v>447</v>
      </c>
      <c r="L502" t="s">
        <v>40</v>
      </c>
      <c r="M502" t="s">
        <v>33</v>
      </c>
    </row>
    <row r="503" spans="2:13" ht="14.25" customHeight="1" x14ac:dyDescent="0.3">
      <c r="B503" s="3"/>
      <c r="C503" t="s">
        <v>56</v>
      </c>
      <c r="D503">
        <v>60</v>
      </c>
      <c r="E503">
        <v>45</v>
      </c>
      <c r="F503">
        <v>40</v>
      </c>
      <c r="G503">
        <v>550</v>
      </c>
      <c r="H503">
        <v>1</v>
      </c>
      <c r="I503" s="2">
        <f>0.742 + 180/550</f>
        <v>1.0692727272727272</v>
      </c>
      <c r="J503" t="s">
        <v>60</v>
      </c>
      <c r="K503" t="s">
        <v>448</v>
      </c>
      <c r="L503" t="s">
        <v>32</v>
      </c>
      <c r="M503" t="s">
        <v>51</v>
      </c>
    </row>
    <row r="504" spans="2:13" ht="14.25" customHeight="1" x14ac:dyDescent="0.3">
      <c r="B504" s="3"/>
      <c r="C504" t="s">
        <v>56</v>
      </c>
      <c r="D504">
        <v>60</v>
      </c>
      <c r="E504">
        <v>45</v>
      </c>
      <c r="F504">
        <v>40</v>
      </c>
      <c r="G504">
        <v>1150</v>
      </c>
      <c r="H504">
        <v>1</v>
      </c>
      <c r="I504" s="2">
        <v>0.1</v>
      </c>
      <c r="J504" t="s">
        <v>30</v>
      </c>
      <c r="K504" t="s">
        <v>447</v>
      </c>
      <c r="L504" t="s">
        <v>40</v>
      </c>
      <c r="M504" t="s">
        <v>33</v>
      </c>
    </row>
    <row r="505" spans="2:13" ht="14.25" customHeight="1" x14ac:dyDescent="0.3">
      <c r="B505" s="3"/>
      <c r="C505" t="s">
        <v>56</v>
      </c>
      <c r="D505">
        <v>60</v>
      </c>
      <c r="E505">
        <v>45</v>
      </c>
      <c r="F505">
        <v>40</v>
      </c>
      <c r="G505">
        <v>1150</v>
      </c>
      <c r="H505">
        <v>1</v>
      </c>
      <c r="I505" s="2">
        <f>0.397 + 180/1150</f>
        <v>0.55352173913043479</v>
      </c>
      <c r="J505" t="s">
        <v>60</v>
      </c>
      <c r="K505" t="s">
        <v>448</v>
      </c>
      <c r="L505" t="s">
        <v>32</v>
      </c>
      <c r="M505" t="s">
        <v>28</v>
      </c>
    </row>
    <row r="506" spans="2:13" ht="14.25" customHeight="1" x14ac:dyDescent="0.3">
      <c r="B506" s="3"/>
      <c r="C506" t="s">
        <v>124</v>
      </c>
      <c r="D506">
        <v>60</v>
      </c>
      <c r="E506">
        <v>45.3</v>
      </c>
      <c r="F506">
        <v>4</v>
      </c>
      <c r="G506">
        <v>2</v>
      </c>
      <c r="H506">
        <v>1</v>
      </c>
      <c r="I506" s="2">
        <v>34</v>
      </c>
      <c r="J506" t="s">
        <v>449</v>
      </c>
      <c r="K506" t="s">
        <v>450</v>
      </c>
      <c r="L506" t="s">
        <v>27</v>
      </c>
      <c r="M506" t="s">
        <v>23</v>
      </c>
    </row>
    <row r="507" spans="2:13" ht="14.25" customHeight="1" x14ac:dyDescent="0.3">
      <c r="B507" s="3"/>
      <c r="C507" t="s">
        <v>372</v>
      </c>
      <c r="D507">
        <v>60</v>
      </c>
      <c r="E507">
        <v>50</v>
      </c>
      <c r="F507">
        <v>2</v>
      </c>
      <c r="G507">
        <v>12</v>
      </c>
      <c r="H507">
        <v>1</v>
      </c>
      <c r="I507" s="2">
        <v>8.25</v>
      </c>
      <c r="J507" t="s">
        <v>373</v>
      </c>
      <c r="K507" t="s">
        <v>451</v>
      </c>
      <c r="L507" t="s">
        <v>89</v>
      </c>
      <c r="M507" t="s">
        <v>28</v>
      </c>
    </row>
    <row r="508" spans="2:13" ht="14.25" customHeight="1" x14ac:dyDescent="0.3">
      <c r="B508" s="3"/>
      <c r="C508" t="s">
        <v>443</v>
      </c>
      <c r="D508">
        <v>60.2</v>
      </c>
      <c r="E508">
        <v>25.2</v>
      </c>
      <c r="F508">
        <v>1</v>
      </c>
      <c r="G508">
        <v>1</v>
      </c>
      <c r="H508">
        <v>1</v>
      </c>
      <c r="I508" s="2">
        <v>1.98</v>
      </c>
      <c r="J508" t="s">
        <v>452</v>
      </c>
      <c r="K508" t="s">
        <v>173</v>
      </c>
      <c r="L508" t="s">
        <v>89</v>
      </c>
      <c r="M508" t="s">
        <v>23</v>
      </c>
    </row>
    <row r="509" spans="2:13" ht="14.25" customHeight="1" x14ac:dyDescent="0.3">
      <c r="B509" s="3"/>
      <c r="C509" t="s">
        <v>120</v>
      </c>
      <c r="D509">
        <v>60.3</v>
      </c>
      <c r="E509">
        <v>11.5</v>
      </c>
      <c r="F509">
        <v>1</v>
      </c>
      <c r="G509">
        <v>2</v>
      </c>
      <c r="H509">
        <v>1</v>
      </c>
      <c r="I509" s="2">
        <v>0.8</v>
      </c>
      <c r="J509" t="s">
        <v>438</v>
      </c>
      <c r="K509" t="s">
        <v>173</v>
      </c>
      <c r="L509" t="s">
        <v>89</v>
      </c>
      <c r="M509" t="s">
        <v>76</v>
      </c>
    </row>
    <row r="510" spans="2:13" ht="14.25" customHeight="1" x14ac:dyDescent="0.3">
      <c r="B510" s="3"/>
      <c r="C510" t="s">
        <v>124</v>
      </c>
      <c r="D510">
        <v>61</v>
      </c>
      <c r="E510">
        <v>61</v>
      </c>
      <c r="F510">
        <v>2</v>
      </c>
      <c r="G510">
        <v>16</v>
      </c>
      <c r="H510">
        <v>1</v>
      </c>
      <c r="I510" s="2">
        <v>9.59</v>
      </c>
      <c r="J510" t="s">
        <v>453</v>
      </c>
      <c r="K510" t="s">
        <v>454</v>
      </c>
      <c r="L510" t="s">
        <v>27</v>
      </c>
      <c r="M510" t="s">
        <v>28</v>
      </c>
    </row>
    <row r="511" spans="2:13" ht="14.25" customHeight="1" x14ac:dyDescent="0.3">
      <c r="B511" s="3"/>
      <c r="C511" t="s">
        <v>124</v>
      </c>
      <c r="D511">
        <v>61</v>
      </c>
      <c r="E511">
        <v>61</v>
      </c>
      <c r="F511">
        <v>2</v>
      </c>
      <c r="G511">
        <v>16</v>
      </c>
      <c r="H511">
        <v>1</v>
      </c>
      <c r="I511" s="2">
        <v>13.25</v>
      </c>
      <c r="J511" t="s">
        <v>41</v>
      </c>
      <c r="K511" t="s">
        <v>454</v>
      </c>
      <c r="L511" t="s">
        <v>27</v>
      </c>
      <c r="M511" t="s">
        <v>23</v>
      </c>
    </row>
    <row r="512" spans="2:13" ht="14.25" customHeight="1" x14ac:dyDescent="0.3">
      <c r="B512" s="3"/>
      <c r="C512" t="s">
        <v>124</v>
      </c>
      <c r="D512">
        <v>61</v>
      </c>
      <c r="E512">
        <v>61</v>
      </c>
      <c r="F512">
        <v>2</v>
      </c>
      <c r="G512">
        <v>16</v>
      </c>
      <c r="H512">
        <v>1</v>
      </c>
      <c r="I512" s="2">
        <v>13.32</v>
      </c>
      <c r="J512" t="s">
        <v>455</v>
      </c>
      <c r="K512" t="s">
        <v>454</v>
      </c>
      <c r="L512" t="s">
        <v>27</v>
      </c>
      <c r="M512" t="s">
        <v>33</v>
      </c>
    </row>
    <row r="513" spans="2:13" ht="14.25" customHeight="1" x14ac:dyDescent="0.3">
      <c r="B513" s="3"/>
      <c r="C513" t="s">
        <v>124</v>
      </c>
      <c r="D513">
        <v>61</v>
      </c>
      <c r="E513">
        <v>61</v>
      </c>
      <c r="F513">
        <v>2</v>
      </c>
      <c r="G513">
        <v>16</v>
      </c>
      <c r="H513">
        <v>1</v>
      </c>
      <c r="I513" s="2">
        <v>14</v>
      </c>
      <c r="J513" t="s">
        <v>41</v>
      </c>
      <c r="K513" t="s">
        <v>454</v>
      </c>
      <c r="L513" t="s">
        <v>27</v>
      </c>
      <c r="M513" t="s">
        <v>23</v>
      </c>
    </row>
    <row r="514" spans="2:13" ht="14.25" customHeight="1" x14ac:dyDescent="0.3">
      <c r="B514" s="3"/>
      <c r="C514" t="s">
        <v>256</v>
      </c>
      <c r="D514">
        <v>61.4</v>
      </c>
      <c r="E514">
        <v>53.1</v>
      </c>
      <c r="F514">
        <v>2</v>
      </c>
      <c r="G514">
        <v>1</v>
      </c>
      <c r="H514">
        <v>1</v>
      </c>
      <c r="I514" s="2">
        <v>6</v>
      </c>
      <c r="J514" t="s">
        <v>354</v>
      </c>
      <c r="K514" t="s">
        <v>456</v>
      </c>
      <c r="L514" t="s">
        <v>32</v>
      </c>
      <c r="M514" t="s">
        <v>23</v>
      </c>
    </row>
    <row r="515" spans="2:13" ht="14.25" customHeight="1" x14ac:dyDescent="0.3">
      <c r="B515" s="3"/>
      <c r="C515" t="s">
        <v>120</v>
      </c>
      <c r="D515">
        <v>61.5</v>
      </c>
      <c r="E515">
        <v>11</v>
      </c>
      <c r="F515">
        <v>1</v>
      </c>
      <c r="G515">
        <v>4</v>
      </c>
      <c r="H515">
        <v>1</v>
      </c>
      <c r="I515" s="2">
        <v>0.67</v>
      </c>
      <c r="J515" t="s">
        <v>174</v>
      </c>
      <c r="K515" t="s">
        <v>173</v>
      </c>
      <c r="L515" t="s">
        <v>89</v>
      </c>
      <c r="M515" t="s">
        <v>51</v>
      </c>
    </row>
    <row r="516" spans="2:13" ht="14.25" customHeight="1" x14ac:dyDescent="0.3">
      <c r="B516" s="3"/>
      <c r="C516" t="s">
        <v>457</v>
      </c>
      <c r="D516">
        <v>61.5</v>
      </c>
      <c r="E516">
        <v>61.5</v>
      </c>
      <c r="F516">
        <v>3</v>
      </c>
      <c r="G516">
        <v>1</v>
      </c>
      <c r="H516">
        <v>1</v>
      </c>
      <c r="I516" s="2">
        <v>1.65</v>
      </c>
      <c r="J516" t="s">
        <v>458</v>
      </c>
      <c r="K516" t="s">
        <v>459</v>
      </c>
      <c r="L516" t="s">
        <v>32</v>
      </c>
      <c r="M516" t="s">
        <v>51</v>
      </c>
    </row>
    <row r="517" spans="2:13" ht="14.25" customHeight="1" x14ac:dyDescent="0.3">
      <c r="B517" s="3"/>
      <c r="C517" t="s">
        <v>457</v>
      </c>
      <c r="D517">
        <v>61.5</v>
      </c>
      <c r="E517">
        <v>61.5</v>
      </c>
      <c r="F517">
        <v>3</v>
      </c>
      <c r="G517">
        <v>12</v>
      </c>
      <c r="H517">
        <v>1</v>
      </c>
      <c r="I517" s="2">
        <v>1.65</v>
      </c>
      <c r="J517" t="s">
        <v>458</v>
      </c>
      <c r="K517" t="s">
        <v>459</v>
      </c>
      <c r="L517" t="s">
        <v>32</v>
      </c>
      <c r="M517" t="s">
        <v>33</v>
      </c>
    </row>
    <row r="518" spans="2:13" ht="14.25" customHeight="1" x14ac:dyDescent="0.3">
      <c r="B518" s="3"/>
      <c r="C518" t="s">
        <v>457</v>
      </c>
      <c r="D518">
        <v>61.5</v>
      </c>
      <c r="E518">
        <v>61.5</v>
      </c>
      <c r="F518">
        <v>3</v>
      </c>
      <c r="G518">
        <v>12</v>
      </c>
      <c r="H518">
        <v>1</v>
      </c>
      <c r="I518" s="2">
        <v>21</v>
      </c>
      <c r="J518" t="s">
        <v>460</v>
      </c>
      <c r="K518" t="s">
        <v>461</v>
      </c>
      <c r="L518" t="s">
        <v>40</v>
      </c>
      <c r="M518" t="s">
        <v>51</v>
      </c>
    </row>
    <row r="519" spans="2:13" ht="14.25" customHeight="1" x14ac:dyDescent="0.3">
      <c r="B519" s="3"/>
      <c r="C519" t="s">
        <v>457</v>
      </c>
      <c r="D519">
        <v>61.5</v>
      </c>
      <c r="E519">
        <v>61.5</v>
      </c>
      <c r="F519">
        <v>3</v>
      </c>
      <c r="G519">
        <v>50</v>
      </c>
      <c r="H519">
        <v>1</v>
      </c>
      <c r="I519" s="2">
        <v>1.65</v>
      </c>
      <c r="J519" t="s">
        <v>458</v>
      </c>
      <c r="K519" t="s">
        <v>459</v>
      </c>
      <c r="L519" t="s">
        <v>32</v>
      </c>
      <c r="M519" t="s">
        <v>33</v>
      </c>
    </row>
    <row r="520" spans="2:13" ht="14.25" customHeight="1" x14ac:dyDescent="0.3">
      <c r="B520" s="3"/>
      <c r="C520" t="s">
        <v>457</v>
      </c>
      <c r="D520">
        <v>61.5</v>
      </c>
      <c r="E520">
        <v>61.5</v>
      </c>
      <c r="F520">
        <v>3</v>
      </c>
      <c r="G520">
        <v>50</v>
      </c>
      <c r="H520">
        <v>1</v>
      </c>
      <c r="I520" s="2">
        <v>14</v>
      </c>
      <c r="J520" t="s">
        <v>460</v>
      </c>
      <c r="K520" t="s">
        <v>461</v>
      </c>
      <c r="L520" t="s">
        <v>40</v>
      </c>
      <c r="M520" t="s">
        <v>33</v>
      </c>
    </row>
    <row r="521" spans="2:13" ht="14.25" customHeight="1" x14ac:dyDescent="0.3">
      <c r="B521" s="3"/>
      <c r="C521" t="s">
        <v>457</v>
      </c>
      <c r="D521">
        <v>61.5</v>
      </c>
      <c r="E521">
        <v>61.5</v>
      </c>
      <c r="F521">
        <v>6</v>
      </c>
      <c r="G521">
        <v>12</v>
      </c>
      <c r="H521">
        <v>1</v>
      </c>
      <c r="I521" s="2">
        <v>27</v>
      </c>
      <c r="J521" t="s">
        <v>460</v>
      </c>
      <c r="K521" t="s">
        <v>461</v>
      </c>
      <c r="L521" t="s">
        <v>40</v>
      </c>
      <c r="M521" t="s">
        <v>33</v>
      </c>
    </row>
    <row r="522" spans="2:13" ht="14.25" customHeight="1" x14ac:dyDescent="0.3">
      <c r="B522" s="3"/>
      <c r="C522" t="s">
        <v>457</v>
      </c>
      <c r="D522">
        <v>61.5</v>
      </c>
      <c r="E522">
        <v>61.5</v>
      </c>
      <c r="F522">
        <v>6</v>
      </c>
      <c r="G522">
        <v>50</v>
      </c>
      <c r="H522">
        <v>1</v>
      </c>
      <c r="I522" s="2">
        <v>21</v>
      </c>
      <c r="J522" t="s">
        <v>460</v>
      </c>
      <c r="K522" t="s">
        <v>461</v>
      </c>
      <c r="L522" t="s">
        <v>40</v>
      </c>
      <c r="M522" t="s">
        <v>51</v>
      </c>
    </row>
    <row r="523" spans="2:13" ht="14.25" customHeight="1" x14ac:dyDescent="0.3">
      <c r="B523" s="3"/>
      <c r="C523" t="s">
        <v>457</v>
      </c>
      <c r="D523">
        <v>61.5</v>
      </c>
      <c r="E523">
        <v>61.5</v>
      </c>
      <c r="F523">
        <v>20</v>
      </c>
      <c r="G523">
        <v>50</v>
      </c>
      <c r="H523">
        <v>1</v>
      </c>
      <c r="I523" s="2">
        <v>11</v>
      </c>
      <c r="J523" t="s">
        <v>458</v>
      </c>
      <c r="K523" t="s">
        <v>459</v>
      </c>
      <c r="L523" t="s">
        <v>32</v>
      </c>
      <c r="M523" t="s">
        <v>23</v>
      </c>
    </row>
    <row r="524" spans="2:13" ht="14.25" customHeight="1" x14ac:dyDescent="0.3">
      <c r="B524" s="3"/>
      <c r="C524" t="s">
        <v>19</v>
      </c>
      <c r="D524">
        <v>61.7</v>
      </c>
      <c r="E524">
        <v>45.7</v>
      </c>
      <c r="F524">
        <v>6</v>
      </c>
      <c r="G524">
        <v>1</v>
      </c>
      <c r="H524">
        <v>1</v>
      </c>
      <c r="I524" s="2">
        <v>36.799999999999997</v>
      </c>
      <c r="J524" t="s">
        <v>20</v>
      </c>
      <c r="K524" t="s">
        <v>462</v>
      </c>
      <c r="M524" t="s">
        <v>51</v>
      </c>
    </row>
    <row r="525" spans="2:13" ht="14.25" customHeight="1" x14ac:dyDescent="0.3">
      <c r="B525" s="3"/>
      <c r="C525" t="s">
        <v>463</v>
      </c>
      <c r="D525">
        <v>62</v>
      </c>
      <c r="E525">
        <v>46</v>
      </c>
      <c r="F525">
        <v>3</v>
      </c>
      <c r="G525">
        <v>1000</v>
      </c>
      <c r="H525">
        <v>1</v>
      </c>
      <c r="I525" s="2">
        <f>2.32+0.73</f>
        <v>3.05</v>
      </c>
      <c r="J525" t="s">
        <v>464</v>
      </c>
      <c r="K525" t="s">
        <v>465</v>
      </c>
      <c r="L525" t="s">
        <v>32</v>
      </c>
      <c r="M525" t="s">
        <v>23</v>
      </c>
    </row>
    <row r="526" spans="2:13" ht="14.25" customHeight="1" x14ac:dyDescent="0.3">
      <c r="B526" s="3"/>
      <c r="C526" t="s">
        <v>466</v>
      </c>
      <c r="D526">
        <v>62</v>
      </c>
      <c r="E526">
        <v>46</v>
      </c>
      <c r="F526">
        <v>4</v>
      </c>
      <c r="G526">
        <v>2</v>
      </c>
      <c r="H526">
        <v>1</v>
      </c>
      <c r="I526" s="2">
        <v>1.67</v>
      </c>
      <c r="J526" t="s">
        <v>356</v>
      </c>
      <c r="K526" t="s">
        <v>467</v>
      </c>
      <c r="L526" t="s">
        <v>32</v>
      </c>
      <c r="M526" t="s">
        <v>33</v>
      </c>
    </row>
    <row r="527" spans="2:13" ht="14.25" customHeight="1" x14ac:dyDescent="0.3">
      <c r="B527" s="3"/>
      <c r="C527" t="s">
        <v>241</v>
      </c>
      <c r="D527">
        <v>62</v>
      </c>
      <c r="E527">
        <v>46</v>
      </c>
      <c r="F527">
        <v>6</v>
      </c>
      <c r="G527">
        <v>27</v>
      </c>
      <c r="H527">
        <v>1</v>
      </c>
      <c r="I527" s="2">
        <f>7.07+60/G527</f>
        <v>9.2922222222222217</v>
      </c>
      <c r="J527" t="s">
        <v>60</v>
      </c>
      <c r="K527" t="s">
        <v>468</v>
      </c>
      <c r="L527" t="s">
        <v>32</v>
      </c>
      <c r="M527" t="s">
        <v>23</v>
      </c>
    </row>
    <row r="528" spans="2:13" ht="14.25" customHeight="1" x14ac:dyDescent="0.3">
      <c r="B528" s="3"/>
      <c r="C528" t="s">
        <v>207</v>
      </c>
      <c r="D528">
        <v>63</v>
      </c>
      <c r="E528">
        <v>20</v>
      </c>
      <c r="F528">
        <v>2.5</v>
      </c>
      <c r="G528">
        <v>1</v>
      </c>
      <c r="H528">
        <v>1</v>
      </c>
      <c r="I528" s="2">
        <v>1.26</v>
      </c>
      <c r="J528" t="s">
        <v>208</v>
      </c>
      <c r="K528" t="s">
        <v>209</v>
      </c>
      <c r="L528" t="s">
        <v>22</v>
      </c>
      <c r="M528" t="s">
        <v>23</v>
      </c>
    </row>
    <row r="529" spans="2:13" ht="14.25" customHeight="1" x14ac:dyDescent="0.3">
      <c r="B529" s="3"/>
      <c r="C529" t="s">
        <v>207</v>
      </c>
      <c r="D529">
        <v>63</v>
      </c>
      <c r="E529">
        <v>20</v>
      </c>
      <c r="F529">
        <v>2.5</v>
      </c>
      <c r="G529">
        <v>1</v>
      </c>
      <c r="H529">
        <v>1</v>
      </c>
      <c r="I529" s="2">
        <v>2.3149999999999999</v>
      </c>
      <c r="J529" t="s">
        <v>208</v>
      </c>
      <c r="K529" t="s">
        <v>210</v>
      </c>
      <c r="L529" t="s">
        <v>22</v>
      </c>
      <c r="M529" t="s">
        <v>33</v>
      </c>
    </row>
    <row r="530" spans="2:13" ht="14.25" customHeight="1" x14ac:dyDescent="0.3">
      <c r="B530" s="3"/>
      <c r="C530" t="s">
        <v>262</v>
      </c>
      <c r="D530">
        <v>63.79</v>
      </c>
      <c r="E530">
        <v>55</v>
      </c>
      <c r="F530">
        <v>1</v>
      </c>
      <c r="G530">
        <v>15</v>
      </c>
      <c r="H530">
        <v>1</v>
      </c>
      <c r="I530" s="2">
        <f>(480/G530)+40.93</f>
        <v>72.930000000000007</v>
      </c>
      <c r="J530" t="s">
        <v>263</v>
      </c>
      <c r="K530" t="s">
        <v>264</v>
      </c>
      <c r="L530" t="s">
        <v>32</v>
      </c>
      <c r="M530" t="s">
        <v>33</v>
      </c>
    </row>
    <row r="531" spans="2:13" ht="14.25" customHeight="1" x14ac:dyDescent="0.3">
      <c r="B531" s="3"/>
      <c r="C531" t="s">
        <v>262</v>
      </c>
      <c r="D531">
        <v>63.79</v>
      </c>
      <c r="E531">
        <v>55</v>
      </c>
      <c r="F531">
        <v>1</v>
      </c>
      <c r="G531">
        <v>15</v>
      </c>
      <c r="H531">
        <v>1</v>
      </c>
      <c r="I531" s="2">
        <f>(480/G531)+54.51</f>
        <v>86.509999999999991</v>
      </c>
      <c r="J531" t="s">
        <v>265</v>
      </c>
      <c r="K531" t="s">
        <v>469</v>
      </c>
      <c r="L531" t="s">
        <v>32</v>
      </c>
      <c r="M531" t="s">
        <v>33</v>
      </c>
    </row>
    <row r="532" spans="2:13" ht="14.25" customHeight="1" x14ac:dyDescent="0.3">
      <c r="B532" s="3"/>
      <c r="C532" t="s">
        <v>262</v>
      </c>
      <c r="D532">
        <v>63.79</v>
      </c>
      <c r="E532">
        <v>55</v>
      </c>
      <c r="F532">
        <v>1</v>
      </c>
      <c r="G532">
        <v>15</v>
      </c>
      <c r="H532">
        <v>1</v>
      </c>
      <c r="I532" s="2">
        <f>(480/G532)+51.36</f>
        <v>83.36</v>
      </c>
      <c r="J532" t="s">
        <v>263</v>
      </c>
      <c r="K532" t="s">
        <v>470</v>
      </c>
      <c r="L532" t="s">
        <v>32</v>
      </c>
      <c r="M532" t="s">
        <v>33</v>
      </c>
    </row>
    <row r="533" spans="2:13" ht="14.25" customHeight="1" x14ac:dyDescent="0.3">
      <c r="B533" s="3"/>
      <c r="C533" t="s">
        <v>262</v>
      </c>
      <c r="D533">
        <v>63.79</v>
      </c>
      <c r="E533">
        <v>55</v>
      </c>
      <c r="F533">
        <v>1</v>
      </c>
      <c r="G533">
        <v>15</v>
      </c>
      <c r="H533">
        <v>1</v>
      </c>
      <c r="I533" s="2">
        <f>(480/G533)+68.49</f>
        <v>100.49</v>
      </c>
      <c r="J533" t="s">
        <v>265</v>
      </c>
      <c r="K533" t="s">
        <v>470</v>
      </c>
      <c r="L533" t="s">
        <v>32</v>
      </c>
      <c r="M533" t="s">
        <v>23</v>
      </c>
    </row>
    <row r="534" spans="2:13" ht="14.25" customHeight="1" x14ac:dyDescent="0.3">
      <c r="B534" s="3"/>
      <c r="C534" t="s">
        <v>124</v>
      </c>
      <c r="D534">
        <v>64</v>
      </c>
      <c r="E534">
        <v>46</v>
      </c>
      <c r="F534">
        <v>0.7</v>
      </c>
      <c r="G534">
        <v>8</v>
      </c>
      <c r="H534">
        <v>1</v>
      </c>
      <c r="I534" s="2">
        <v>2.5</v>
      </c>
      <c r="J534" t="s">
        <v>125</v>
      </c>
      <c r="K534" t="s">
        <v>471</v>
      </c>
      <c r="L534" t="s">
        <v>27</v>
      </c>
      <c r="M534" t="s">
        <v>23</v>
      </c>
    </row>
    <row r="535" spans="2:13" ht="14.25" customHeight="1" x14ac:dyDescent="0.3">
      <c r="B535" s="3"/>
      <c r="C535" t="s">
        <v>124</v>
      </c>
      <c r="D535">
        <v>64</v>
      </c>
      <c r="E535">
        <v>46</v>
      </c>
      <c r="F535">
        <v>0.8</v>
      </c>
      <c r="G535">
        <v>12</v>
      </c>
      <c r="H535">
        <v>1</v>
      </c>
      <c r="I535" s="2">
        <v>2.5</v>
      </c>
      <c r="J535" t="s">
        <v>125</v>
      </c>
      <c r="K535" t="s">
        <v>471</v>
      </c>
      <c r="L535" t="s">
        <v>27</v>
      </c>
      <c r="M535" t="s">
        <v>23</v>
      </c>
    </row>
    <row r="536" spans="2:13" ht="14.25" customHeight="1" x14ac:dyDescent="0.3">
      <c r="B536" s="3"/>
      <c r="C536" t="s">
        <v>207</v>
      </c>
      <c r="D536">
        <v>65</v>
      </c>
      <c r="E536">
        <v>20</v>
      </c>
      <c r="F536">
        <v>2.5</v>
      </c>
      <c r="G536">
        <v>1</v>
      </c>
      <c r="H536">
        <v>1</v>
      </c>
      <c r="I536" s="2">
        <v>1.3</v>
      </c>
      <c r="J536" t="s">
        <v>208</v>
      </c>
      <c r="K536" t="s">
        <v>209</v>
      </c>
      <c r="L536" t="s">
        <v>22</v>
      </c>
      <c r="M536" t="s">
        <v>23</v>
      </c>
    </row>
    <row r="537" spans="2:13" ht="14.25" customHeight="1" x14ac:dyDescent="0.3">
      <c r="B537" s="3"/>
      <c r="C537" t="s">
        <v>207</v>
      </c>
      <c r="D537">
        <v>65</v>
      </c>
      <c r="E537">
        <v>20</v>
      </c>
      <c r="F537">
        <v>2.5</v>
      </c>
      <c r="G537">
        <v>1</v>
      </c>
      <c r="H537">
        <v>1</v>
      </c>
      <c r="I537" s="2">
        <v>2.3889999999999998</v>
      </c>
      <c r="J537" t="s">
        <v>208</v>
      </c>
      <c r="K537" t="s">
        <v>210</v>
      </c>
      <c r="L537" t="s">
        <v>89</v>
      </c>
      <c r="M537" t="s">
        <v>23</v>
      </c>
    </row>
    <row r="538" spans="2:13" ht="14.25" customHeight="1" x14ac:dyDescent="0.3">
      <c r="B538" s="3"/>
      <c r="C538" t="s">
        <v>120</v>
      </c>
      <c r="D538">
        <v>66.5</v>
      </c>
      <c r="E538">
        <v>4.5</v>
      </c>
      <c r="F538">
        <v>1</v>
      </c>
      <c r="G538">
        <v>4</v>
      </c>
      <c r="H538">
        <v>1</v>
      </c>
      <c r="I538" s="2">
        <v>0.33</v>
      </c>
      <c r="J538" t="s">
        <v>172</v>
      </c>
      <c r="K538" t="s">
        <v>173</v>
      </c>
      <c r="L538" t="s">
        <v>89</v>
      </c>
      <c r="M538" t="s">
        <v>23</v>
      </c>
    </row>
    <row r="539" spans="2:13" ht="14.25" customHeight="1" x14ac:dyDescent="0.3">
      <c r="B539" s="3"/>
      <c r="C539" t="s">
        <v>120</v>
      </c>
      <c r="D539">
        <v>66.5</v>
      </c>
      <c r="E539">
        <v>16.5</v>
      </c>
      <c r="F539">
        <v>1</v>
      </c>
      <c r="G539">
        <v>4</v>
      </c>
      <c r="H539">
        <v>1</v>
      </c>
      <c r="I539" s="2">
        <v>1</v>
      </c>
      <c r="J539" t="s">
        <v>172</v>
      </c>
      <c r="K539" t="s">
        <v>173</v>
      </c>
      <c r="L539" t="s">
        <v>89</v>
      </c>
      <c r="M539" t="s">
        <v>23</v>
      </c>
    </row>
    <row r="540" spans="2:13" ht="14.25" customHeight="1" x14ac:dyDescent="0.3">
      <c r="B540" s="3"/>
      <c r="C540" t="s">
        <v>120</v>
      </c>
      <c r="D540">
        <v>67</v>
      </c>
      <c r="E540">
        <v>4.5</v>
      </c>
      <c r="F540">
        <v>1</v>
      </c>
      <c r="G540">
        <v>4</v>
      </c>
      <c r="H540">
        <v>1</v>
      </c>
      <c r="I540" s="2">
        <v>0.33</v>
      </c>
      <c r="J540" t="s">
        <v>172</v>
      </c>
      <c r="K540" t="s">
        <v>173</v>
      </c>
      <c r="L540" t="s">
        <v>89</v>
      </c>
      <c r="M540" t="s">
        <v>23</v>
      </c>
    </row>
    <row r="541" spans="2:13" ht="14.25" customHeight="1" x14ac:dyDescent="0.3">
      <c r="B541" s="3"/>
      <c r="C541" t="s">
        <v>120</v>
      </c>
      <c r="D541">
        <v>67</v>
      </c>
      <c r="E541">
        <v>5</v>
      </c>
      <c r="F541">
        <v>7</v>
      </c>
      <c r="G541">
        <v>4</v>
      </c>
      <c r="H541">
        <v>1</v>
      </c>
      <c r="I541" s="2">
        <v>0.33</v>
      </c>
      <c r="J541" t="s">
        <v>172</v>
      </c>
      <c r="K541" t="s">
        <v>173</v>
      </c>
      <c r="L541" t="s">
        <v>89</v>
      </c>
      <c r="M541" t="s">
        <v>23</v>
      </c>
    </row>
    <row r="542" spans="2:13" ht="14.25" customHeight="1" x14ac:dyDescent="0.3">
      <c r="B542" s="3"/>
      <c r="C542" t="s">
        <v>120</v>
      </c>
      <c r="D542">
        <v>67</v>
      </c>
      <c r="E542">
        <v>12</v>
      </c>
      <c r="F542">
        <v>1</v>
      </c>
      <c r="G542">
        <v>2</v>
      </c>
      <c r="H542">
        <v>1</v>
      </c>
      <c r="I542" s="2">
        <v>2.7</v>
      </c>
      <c r="J542" t="s">
        <v>172</v>
      </c>
      <c r="K542" t="s">
        <v>173</v>
      </c>
      <c r="L542" t="s">
        <v>89</v>
      </c>
      <c r="M542" t="s">
        <v>23</v>
      </c>
    </row>
    <row r="543" spans="2:13" ht="14.25" customHeight="1" x14ac:dyDescent="0.3">
      <c r="B543" s="3"/>
      <c r="C543" t="s">
        <v>120</v>
      </c>
      <c r="D543">
        <v>67</v>
      </c>
      <c r="E543">
        <v>16.5</v>
      </c>
      <c r="F543">
        <v>1</v>
      </c>
      <c r="G543">
        <v>4</v>
      </c>
      <c r="H543">
        <v>1</v>
      </c>
      <c r="I543" s="2">
        <v>1</v>
      </c>
      <c r="J543" t="s">
        <v>172</v>
      </c>
      <c r="K543" t="s">
        <v>173</v>
      </c>
      <c r="L543" t="s">
        <v>89</v>
      </c>
      <c r="M543" t="s">
        <v>23</v>
      </c>
    </row>
    <row r="544" spans="2:13" ht="14.25" customHeight="1" x14ac:dyDescent="0.3">
      <c r="B544" s="3"/>
      <c r="C544" t="s">
        <v>120</v>
      </c>
      <c r="D544">
        <v>67</v>
      </c>
      <c r="E544">
        <v>52.5</v>
      </c>
      <c r="F544">
        <v>4</v>
      </c>
      <c r="G544">
        <v>2</v>
      </c>
      <c r="H544">
        <v>1</v>
      </c>
      <c r="I544" s="2">
        <v>19.899999999999999</v>
      </c>
      <c r="J544" t="s">
        <v>172</v>
      </c>
      <c r="K544" t="s">
        <v>173</v>
      </c>
      <c r="L544" t="s">
        <v>89</v>
      </c>
      <c r="M544" t="s">
        <v>23</v>
      </c>
    </row>
    <row r="545" spans="2:13" ht="14.25" customHeight="1" x14ac:dyDescent="0.3">
      <c r="B545" s="3"/>
      <c r="C545" t="s">
        <v>124</v>
      </c>
      <c r="D545">
        <v>68</v>
      </c>
      <c r="E545">
        <v>24</v>
      </c>
      <c r="F545">
        <v>2</v>
      </c>
      <c r="G545">
        <v>8</v>
      </c>
      <c r="H545">
        <v>1</v>
      </c>
      <c r="I545" s="2">
        <v>2.84</v>
      </c>
      <c r="J545" t="s">
        <v>125</v>
      </c>
      <c r="K545" t="s">
        <v>472</v>
      </c>
      <c r="L545" t="s">
        <v>127</v>
      </c>
      <c r="M545" t="s">
        <v>51</v>
      </c>
    </row>
    <row r="546" spans="2:13" ht="14.25" customHeight="1" x14ac:dyDescent="0.3">
      <c r="B546" s="3"/>
      <c r="C546" t="s">
        <v>120</v>
      </c>
      <c r="D546">
        <v>68</v>
      </c>
      <c r="E546">
        <v>48</v>
      </c>
      <c r="F546">
        <v>9</v>
      </c>
      <c r="G546">
        <v>2</v>
      </c>
      <c r="H546">
        <v>1</v>
      </c>
      <c r="I546" s="2">
        <v>4.29</v>
      </c>
      <c r="J546" t="s">
        <v>356</v>
      </c>
      <c r="K546" t="s">
        <v>212</v>
      </c>
      <c r="L546" t="s">
        <v>32</v>
      </c>
      <c r="M546" t="s">
        <v>33</v>
      </c>
    </row>
    <row r="547" spans="2:13" ht="14.25" customHeight="1" x14ac:dyDescent="0.3">
      <c r="B547" s="3"/>
      <c r="C547" t="s">
        <v>124</v>
      </c>
      <c r="D547">
        <v>68.3</v>
      </c>
      <c r="E547">
        <v>64.400000000000006</v>
      </c>
      <c r="F547">
        <v>1</v>
      </c>
      <c r="G547">
        <v>2</v>
      </c>
      <c r="H547">
        <v>1</v>
      </c>
      <c r="I547" s="2">
        <v>22.08</v>
      </c>
      <c r="J547" t="s">
        <v>338</v>
      </c>
      <c r="K547" t="s">
        <v>473</v>
      </c>
      <c r="L547" t="s">
        <v>32</v>
      </c>
      <c r="M547" t="s">
        <v>23</v>
      </c>
    </row>
    <row r="548" spans="2:13" ht="14.25" customHeight="1" x14ac:dyDescent="0.3">
      <c r="B548" s="3"/>
      <c r="C548" t="s">
        <v>124</v>
      </c>
      <c r="D548">
        <v>68.3</v>
      </c>
      <c r="E548">
        <v>64.400000000000006</v>
      </c>
      <c r="F548">
        <v>1</v>
      </c>
      <c r="G548">
        <v>2</v>
      </c>
      <c r="H548">
        <v>1</v>
      </c>
      <c r="I548" s="2">
        <v>9.6</v>
      </c>
      <c r="J548" t="s">
        <v>474</v>
      </c>
      <c r="K548" t="s">
        <v>475</v>
      </c>
      <c r="L548" t="s">
        <v>127</v>
      </c>
      <c r="M548" t="s">
        <v>33</v>
      </c>
    </row>
    <row r="549" spans="2:13" ht="14.25" customHeight="1" x14ac:dyDescent="0.3">
      <c r="B549" s="3"/>
      <c r="C549" t="s">
        <v>124</v>
      </c>
      <c r="D549">
        <v>68.400000000000006</v>
      </c>
      <c r="E549">
        <v>6</v>
      </c>
      <c r="F549">
        <v>5</v>
      </c>
      <c r="G549">
        <v>4</v>
      </c>
      <c r="H549">
        <v>1</v>
      </c>
      <c r="I549" s="2">
        <v>66</v>
      </c>
      <c r="J549" t="s">
        <v>338</v>
      </c>
      <c r="K549" t="s">
        <v>473</v>
      </c>
      <c r="L549" t="s">
        <v>32</v>
      </c>
      <c r="M549" t="s">
        <v>23</v>
      </c>
    </row>
    <row r="550" spans="2:13" ht="14.25" customHeight="1" x14ac:dyDescent="0.3">
      <c r="B550" s="3"/>
      <c r="C550" t="s">
        <v>124</v>
      </c>
      <c r="D550">
        <v>68.400000000000006</v>
      </c>
      <c r="E550">
        <v>6</v>
      </c>
      <c r="F550">
        <v>5</v>
      </c>
      <c r="G550">
        <v>4</v>
      </c>
      <c r="H550">
        <v>1</v>
      </c>
      <c r="I550" s="2">
        <v>3.2</v>
      </c>
      <c r="J550" t="s">
        <v>474</v>
      </c>
      <c r="K550" t="s">
        <v>475</v>
      </c>
      <c r="L550" t="s">
        <v>32</v>
      </c>
      <c r="M550" t="s">
        <v>33</v>
      </c>
    </row>
    <row r="551" spans="2:13" ht="14.25" customHeight="1" x14ac:dyDescent="0.3">
      <c r="B551" s="3"/>
      <c r="C551" t="s">
        <v>444</v>
      </c>
      <c r="D551">
        <v>70</v>
      </c>
      <c r="E551">
        <v>50</v>
      </c>
      <c r="F551">
        <v>3</v>
      </c>
      <c r="G551">
        <v>4</v>
      </c>
      <c r="H551">
        <v>1</v>
      </c>
      <c r="I551" s="2">
        <v>19</v>
      </c>
      <c r="J551" t="s">
        <v>476</v>
      </c>
      <c r="K551" t="s">
        <v>477</v>
      </c>
      <c r="L551" t="s">
        <v>89</v>
      </c>
      <c r="M551" t="s">
        <v>33</v>
      </c>
    </row>
    <row r="552" spans="2:13" ht="14.25" customHeight="1" x14ac:dyDescent="0.3">
      <c r="B552" s="3"/>
      <c r="C552" t="s">
        <v>444</v>
      </c>
      <c r="D552">
        <v>70</v>
      </c>
      <c r="E552">
        <v>50</v>
      </c>
      <c r="F552">
        <v>8</v>
      </c>
      <c r="G552">
        <v>4</v>
      </c>
      <c r="H552">
        <v>1</v>
      </c>
      <c r="I552" s="2">
        <v>29</v>
      </c>
      <c r="J552" t="s">
        <v>476</v>
      </c>
      <c r="K552" t="s">
        <v>477</v>
      </c>
      <c r="L552" t="s">
        <v>89</v>
      </c>
      <c r="M552" t="s">
        <v>28</v>
      </c>
    </row>
    <row r="553" spans="2:13" ht="14.25" customHeight="1" x14ac:dyDescent="0.3">
      <c r="B553" s="3"/>
      <c r="C553" t="s">
        <v>124</v>
      </c>
      <c r="D553">
        <v>71</v>
      </c>
      <c r="E553">
        <v>35</v>
      </c>
      <c r="F553">
        <v>2.5</v>
      </c>
      <c r="G553">
        <v>2</v>
      </c>
      <c r="H553">
        <v>1</v>
      </c>
      <c r="I553" s="2">
        <v>15</v>
      </c>
      <c r="J553" t="s">
        <v>211</v>
      </c>
      <c r="K553" t="s">
        <v>309</v>
      </c>
      <c r="L553" t="s">
        <v>89</v>
      </c>
      <c r="M553" t="s">
        <v>23</v>
      </c>
    </row>
    <row r="554" spans="2:13" ht="14.25" customHeight="1" x14ac:dyDescent="0.3">
      <c r="B554" s="3"/>
      <c r="C554" t="s">
        <v>120</v>
      </c>
      <c r="D554">
        <v>71.099999999999994</v>
      </c>
      <c r="E554">
        <v>7</v>
      </c>
      <c r="F554">
        <v>1</v>
      </c>
      <c r="G554">
        <v>12</v>
      </c>
      <c r="H554">
        <v>1</v>
      </c>
      <c r="I554" s="2">
        <v>1</v>
      </c>
      <c r="J554" t="s">
        <v>172</v>
      </c>
      <c r="K554" t="s">
        <v>173</v>
      </c>
      <c r="L554" t="s">
        <v>89</v>
      </c>
      <c r="M554" t="s">
        <v>23</v>
      </c>
    </row>
    <row r="555" spans="2:13" ht="14.25" customHeight="1" x14ac:dyDescent="0.3">
      <c r="B555" s="3"/>
      <c r="C555" t="s">
        <v>202</v>
      </c>
      <c r="D555">
        <v>71.7</v>
      </c>
      <c r="E555">
        <v>68.400000000000006</v>
      </c>
      <c r="F555">
        <v>4</v>
      </c>
      <c r="G555">
        <v>1</v>
      </c>
      <c r="H555">
        <v>1</v>
      </c>
      <c r="I555" s="2">
        <v>60.2</v>
      </c>
      <c r="J555" t="s">
        <v>240</v>
      </c>
      <c r="K555" t="s">
        <v>478</v>
      </c>
      <c r="L555" t="s">
        <v>27</v>
      </c>
      <c r="M555" t="s">
        <v>23</v>
      </c>
    </row>
    <row r="556" spans="2:13" ht="14.25" customHeight="1" x14ac:dyDescent="0.3">
      <c r="B556" s="3"/>
      <c r="C556" t="s">
        <v>124</v>
      </c>
      <c r="D556">
        <v>72</v>
      </c>
      <c r="E556">
        <v>24</v>
      </c>
      <c r="F556">
        <v>2</v>
      </c>
      <c r="G556">
        <v>6</v>
      </c>
      <c r="H556">
        <v>1</v>
      </c>
      <c r="I556" s="2">
        <v>3.3</v>
      </c>
      <c r="J556" t="s">
        <v>125</v>
      </c>
      <c r="K556" t="s">
        <v>472</v>
      </c>
      <c r="L556" t="s">
        <v>127</v>
      </c>
      <c r="M556" t="s">
        <v>23</v>
      </c>
    </row>
    <row r="557" spans="2:13" ht="14.25" customHeight="1" x14ac:dyDescent="0.3">
      <c r="B557" s="3"/>
      <c r="C557" t="s">
        <v>207</v>
      </c>
      <c r="D557">
        <v>72</v>
      </c>
      <c r="E557">
        <v>37</v>
      </c>
      <c r="F557">
        <v>7</v>
      </c>
      <c r="G557">
        <v>4</v>
      </c>
      <c r="H557">
        <v>1</v>
      </c>
      <c r="I557" s="2">
        <v>9.8000000000000007</v>
      </c>
      <c r="J557" t="s">
        <v>479</v>
      </c>
      <c r="K557" t="s">
        <v>480</v>
      </c>
      <c r="L557" t="s">
        <v>22</v>
      </c>
      <c r="M557" t="s">
        <v>23</v>
      </c>
    </row>
    <row r="558" spans="2:13" ht="14.25" customHeight="1" x14ac:dyDescent="0.3">
      <c r="B558" s="3"/>
      <c r="C558" t="s">
        <v>481</v>
      </c>
      <c r="D558">
        <v>72.099999999999994</v>
      </c>
      <c r="E558">
        <v>28.1</v>
      </c>
      <c r="F558">
        <v>2</v>
      </c>
      <c r="G558">
        <v>2</v>
      </c>
      <c r="H558">
        <v>1</v>
      </c>
      <c r="I558" s="2">
        <v>5.4</v>
      </c>
      <c r="J558" t="s">
        <v>482</v>
      </c>
      <c r="K558" t="s">
        <v>483</v>
      </c>
      <c r="L558" t="s">
        <v>27</v>
      </c>
      <c r="M558" t="s">
        <v>28</v>
      </c>
    </row>
    <row r="559" spans="2:13" ht="14.25" customHeight="1" x14ac:dyDescent="0.3">
      <c r="B559" s="3"/>
      <c r="C559" t="s">
        <v>481</v>
      </c>
      <c r="D559">
        <v>72.099999999999994</v>
      </c>
      <c r="E559">
        <v>28.1</v>
      </c>
      <c r="F559">
        <v>2</v>
      </c>
      <c r="G559">
        <v>2</v>
      </c>
      <c r="H559">
        <v>1</v>
      </c>
      <c r="I559" s="2">
        <v>12.5</v>
      </c>
      <c r="J559" t="s">
        <v>484</v>
      </c>
      <c r="K559" t="s">
        <v>483</v>
      </c>
      <c r="L559" t="s">
        <v>27</v>
      </c>
      <c r="M559" t="s">
        <v>23</v>
      </c>
    </row>
    <row r="560" spans="2:13" ht="14.25" customHeight="1" x14ac:dyDescent="0.3">
      <c r="B560" s="3"/>
      <c r="C560" t="s">
        <v>481</v>
      </c>
      <c r="D560">
        <v>72.099999999999994</v>
      </c>
      <c r="E560">
        <v>56.1</v>
      </c>
      <c r="F560">
        <v>2</v>
      </c>
      <c r="G560">
        <v>2</v>
      </c>
      <c r="H560">
        <v>1</v>
      </c>
      <c r="I560" s="2">
        <v>20</v>
      </c>
      <c r="J560" t="s">
        <v>484</v>
      </c>
      <c r="K560" t="s">
        <v>485</v>
      </c>
      <c r="L560" t="s">
        <v>27</v>
      </c>
      <c r="M560" t="s">
        <v>33</v>
      </c>
    </row>
    <row r="561" spans="2:13" ht="14.25" customHeight="1" x14ac:dyDescent="0.3">
      <c r="B561" s="3"/>
      <c r="C561" t="s">
        <v>486</v>
      </c>
      <c r="D561">
        <v>72.2</v>
      </c>
      <c r="E561">
        <v>44.2</v>
      </c>
      <c r="F561">
        <v>2</v>
      </c>
      <c r="G561">
        <v>7924</v>
      </c>
      <c r="H561">
        <v>1</v>
      </c>
      <c r="I561" s="2">
        <v>2.79</v>
      </c>
      <c r="J561" t="s">
        <v>487</v>
      </c>
      <c r="K561" t="s">
        <v>488</v>
      </c>
      <c r="L561" t="s">
        <v>32</v>
      </c>
      <c r="M561" t="s">
        <v>28</v>
      </c>
    </row>
    <row r="562" spans="2:13" ht="14.25" customHeight="1" x14ac:dyDescent="0.3">
      <c r="B562" s="3"/>
      <c r="C562" t="s">
        <v>124</v>
      </c>
      <c r="D562">
        <v>72.400000000000006</v>
      </c>
      <c r="E562">
        <v>75.3</v>
      </c>
      <c r="F562">
        <v>2</v>
      </c>
      <c r="G562">
        <v>2</v>
      </c>
      <c r="H562">
        <v>1</v>
      </c>
      <c r="I562" s="2">
        <v>44.16</v>
      </c>
      <c r="J562" t="s">
        <v>338</v>
      </c>
      <c r="K562" t="s">
        <v>473</v>
      </c>
      <c r="L562" t="s">
        <v>32</v>
      </c>
      <c r="M562" t="s">
        <v>23</v>
      </c>
    </row>
    <row r="563" spans="2:13" ht="14.25" customHeight="1" x14ac:dyDescent="0.3">
      <c r="B563" s="3"/>
      <c r="C563" t="s">
        <v>489</v>
      </c>
      <c r="D563">
        <v>74</v>
      </c>
      <c r="E563">
        <v>19.600000000000001</v>
      </c>
      <c r="F563">
        <v>3</v>
      </c>
      <c r="G563">
        <v>1</v>
      </c>
      <c r="H563">
        <v>1</v>
      </c>
      <c r="I563" s="2">
        <v>1.45</v>
      </c>
      <c r="J563" t="s">
        <v>490</v>
      </c>
      <c r="K563" t="s">
        <v>491</v>
      </c>
      <c r="L563" t="s">
        <v>27</v>
      </c>
      <c r="M563" t="s">
        <v>23</v>
      </c>
    </row>
    <row r="564" spans="2:13" ht="14.25" customHeight="1" x14ac:dyDescent="0.3">
      <c r="B564" s="3"/>
      <c r="C564" t="s">
        <v>171</v>
      </c>
      <c r="D564">
        <v>74</v>
      </c>
      <c r="E564">
        <v>50</v>
      </c>
      <c r="F564">
        <v>2</v>
      </c>
      <c r="G564">
        <v>2</v>
      </c>
      <c r="H564">
        <v>1</v>
      </c>
      <c r="I564" s="2">
        <v>7.5</v>
      </c>
      <c r="J564" t="s">
        <v>172</v>
      </c>
      <c r="K564" t="s">
        <v>173</v>
      </c>
      <c r="L564" t="s">
        <v>89</v>
      </c>
      <c r="M564" t="s">
        <v>23</v>
      </c>
    </row>
    <row r="565" spans="2:13" ht="14.25" customHeight="1" x14ac:dyDescent="0.3">
      <c r="B565" s="3"/>
      <c r="C565" t="s">
        <v>124</v>
      </c>
      <c r="D565">
        <v>74</v>
      </c>
      <c r="E565">
        <v>70</v>
      </c>
      <c r="F565">
        <v>6</v>
      </c>
      <c r="G565">
        <v>2</v>
      </c>
      <c r="H565">
        <v>1</v>
      </c>
      <c r="I565" s="2">
        <v>32.76</v>
      </c>
      <c r="J565" t="s">
        <v>274</v>
      </c>
      <c r="K565" t="s">
        <v>310</v>
      </c>
      <c r="L565" t="s">
        <v>27</v>
      </c>
      <c r="M565" t="s">
        <v>28</v>
      </c>
    </row>
    <row r="566" spans="2:13" ht="14.25" customHeight="1" x14ac:dyDescent="0.3">
      <c r="B566" s="3"/>
      <c r="C566" t="s">
        <v>124</v>
      </c>
      <c r="D566">
        <v>74</v>
      </c>
      <c r="E566">
        <v>70</v>
      </c>
      <c r="F566">
        <v>6</v>
      </c>
      <c r="G566">
        <v>2</v>
      </c>
      <c r="H566">
        <v>1</v>
      </c>
      <c r="I566" s="2">
        <v>73.709999999999994</v>
      </c>
      <c r="J566" t="s">
        <v>275</v>
      </c>
      <c r="K566" t="s">
        <v>310</v>
      </c>
      <c r="L566" t="s">
        <v>27</v>
      </c>
      <c r="M566" t="s">
        <v>23</v>
      </c>
    </row>
    <row r="567" spans="2:13" ht="14.25" customHeight="1" x14ac:dyDescent="0.3">
      <c r="B567" s="3"/>
      <c r="C567" t="s">
        <v>124</v>
      </c>
      <c r="D567">
        <v>74</v>
      </c>
      <c r="E567">
        <v>70</v>
      </c>
      <c r="F567">
        <v>7.5</v>
      </c>
      <c r="G567">
        <v>1</v>
      </c>
      <c r="H567">
        <v>1</v>
      </c>
      <c r="I567" s="2">
        <v>42</v>
      </c>
      <c r="J567" t="s">
        <v>274</v>
      </c>
      <c r="K567" t="s">
        <v>310</v>
      </c>
      <c r="L567" t="s">
        <v>27</v>
      </c>
      <c r="M567" t="s">
        <v>28</v>
      </c>
    </row>
    <row r="568" spans="2:13" ht="14.25" customHeight="1" x14ac:dyDescent="0.3">
      <c r="B568" s="3"/>
      <c r="C568" t="s">
        <v>191</v>
      </c>
      <c r="D568">
        <v>74.5</v>
      </c>
      <c r="E568">
        <v>47.5</v>
      </c>
      <c r="F568">
        <v>4</v>
      </c>
      <c r="G568">
        <v>1</v>
      </c>
      <c r="H568">
        <v>1</v>
      </c>
      <c r="I568" s="2">
        <v>2.44</v>
      </c>
      <c r="J568" t="s">
        <v>358</v>
      </c>
      <c r="K568" t="s">
        <v>212</v>
      </c>
      <c r="L568" t="s">
        <v>32</v>
      </c>
      <c r="M568" t="s">
        <v>23</v>
      </c>
    </row>
    <row r="569" spans="2:13" ht="14.25" customHeight="1" x14ac:dyDescent="0.3">
      <c r="B569" s="3"/>
      <c r="C569" t="s">
        <v>492</v>
      </c>
      <c r="D569">
        <v>75</v>
      </c>
      <c r="E569">
        <v>10</v>
      </c>
      <c r="F569">
        <v>10</v>
      </c>
      <c r="G569">
        <v>3</v>
      </c>
      <c r="H569">
        <v>1</v>
      </c>
      <c r="I569" s="2">
        <v>6</v>
      </c>
      <c r="J569" t="s">
        <v>369</v>
      </c>
      <c r="K569" t="s">
        <v>300</v>
      </c>
      <c r="L569" t="s">
        <v>22</v>
      </c>
      <c r="M569" t="s">
        <v>51</v>
      </c>
    </row>
    <row r="570" spans="2:13" ht="14.25" customHeight="1" x14ac:dyDescent="0.3">
      <c r="B570" s="3"/>
      <c r="C570" t="s">
        <v>120</v>
      </c>
      <c r="D570">
        <v>75</v>
      </c>
      <c r="E570">
        <v>48</v>
      </c>
      <c r="F570">
        <v>4</v>
      </c>
      <c r="G570">
        <v>2</v>
      </c>
      <c r="H570">
        <v>1</v>
      </c>
      <c r="I570" s="2">
        <v>2.1</v>
      </c>
      <c r="J570" t="s">
        <v>356</v>
      </c>
      <c r="K570" t="s">
        <v>493</v>
      </c>
      <c r="L570" t="s">
        <v>32</v>
      </c>
      <c r="M570" t="s">
        <v>33</v>
      </c>
    </row>
    <row r="571" spans="2:13" ht="14.25" customHeight="1" x14ac:dyDescent="0.3">
      <c r="B571" s="3"/>
      <c r="C571" t="s">
        <v>191</v>
      </c>
      <c r="D571">
        <v>75</v>
      </c>
      <c r="E571">
        <v>48</v>
      </c>
      <c r="F571">
        <v>6</v>
      </c>
      <c r="G571">
        <v>12</v>
      </c>
      <c r="H571">
        <v>1</v>
      </c>
      <c r="I571" s="2">
        <v>22.8</v>
      </c>
      <c r="J571" t="s">
        <v>494</v>
      </c>
      <c r="K571" t="s">
        <v>495</v>
      </c>
      <c r="L571" t="s">
        <v>32</v>
      </c>
      <c r="M571" t="s">
        <v>496</v>
      </c>
    </row>
    <row r="572" spans="2:13" ht="14.25" customHeight="1" x14ac:dyDescent="0.3">
      <c r="B572" s="3"/>
      <c r="C572" t="s">
        <v>191</v>
      </c>
      <c r="D572">
        <v>75</v>
      </c>
      <c r="E572">
        <v>48</v>
      </c>
      <c r="F572">
        <v>6</v>
      </c>
      <c r="G572">
        <v>18</v>
      </c>
      <c r="H572">
        <v>1</v>
      </c>
      <c r="I572" s="2">
        <v>20.100000000000001</v>
      </c>
      <c r="J572" t="s">
        <v>497</v>
      </c>
      <c r="K572" t="s">
        <v>498</v>
      </c>
      <c r="L572" t="s">
        <v>40</v>
      </c>
      <c r="M572" t="s">
        <v>76</v>
      </c>
    </row>
    <row r="573" spans="2:13" ht="14.25" customHeight="1" x14ac:dyDescent="0.3">
      <c r="B573" s="3"/>
      <c r="C573" t="s">
        <v>191</v>
      </c>
      <c r="D573">
        <v>75</v>
      </c>
      <c r="E573">
        <v>48</v>
      </c>
      <c r="F573">
        <v>6</v>
      </c>
      <c r="G573">
        <v>18</v>
      </c>
      <c r="H573">
        <v>1</v>
      </c>
      <c r="I573" s="2">
        <v>25</v>
      </c>
      <c r="J573" t="s">
        <v>258</v>
      </c>
      <c r="K573" t="s">
        <v>499</v>
      </c>
      <c r="L573" t="s">
        <v>32</v>
      </c>
      <c r="M573" t="s">
        <v>33</v>
      </c>
    </row>
    <row r="574" spans="2:13" ht="14.25" customHeight="1" x14ac:dyDescent="0.3">
      <c r="B574" s="3"/>
      <c r="C574" t="s">
        <v>463</v>
      </c>
      <c r="D574">
        <v>75</v>
      </c>
      <c r="E574">
        <v>48</v>
      </c>
      <c r="F574">
        <v>6</v>
      </c>
      <c r="G574">
        <v>110</v>
      </c>
      <c r="H574">
        <v>1</v>
      </c>
      <c r="I574" s="2">
        <v>6</v>
      </c>
      <c r="J574" t="s">
        <v>258</v>
      </c>
      <c r="K574" t="s">
        <v>499</v>
      </c>
      <c r="L574" t="s">
        <v>32</v>
      </c>
      <c r="M574" t="s">
        <v>33</v>
      </c>
    </row>
    <row r="575" spans="2:13" ht="14.25" customHeight="1" x14ac:dyDescent="0.3">
      <c r="B575" s="3"/>
      <c r="C575" t="s">
        <v>463</v>
      </c>
      <c r="D575">
        <v>75</v>
      </c>
      <c r="E575">
        <v>48</v>
      </c>
      <c r="F575">
        <v>6</v>
      </c>
      <c r="G575">
        <v>220</v>
      </c>
      <c r="H575">
        <v>1</v>
      </c>
      <c r="I575" s="2">
        <v>5.5</v>
      </c>
      <c r="J575" t="s">
        <v>500</v>
      </c>
      <c r="K575" t="s">
        <v>499</v>
      </c>
      <c r="L575" t="s">
        <v>32</v>
      </c>
      <c r="M575" t="s">
        <v>33</v>
      </c>
    </row>
    <row r="576" spans="2:13" ht="14.25" customHeight="1" x14ac:dyDescent="0.3">
      <c r="B576" s="3"/>
      <c r="C576" t="s">
        <v>463</v>
      </c>
      <c r="D576">
        <v>75</v>
      </c>
      <c r="E576">
        <v>48</v>
      </c>
      <c r="F576">
        <v>6</v>
      </c>
      <c r="G576">
        <v>330</v>
      </c>
      <c r="H576">
        <v>1</v>
      </c>
      <c r="I576" s="2">
        <v>5</v>
      </c>
      <c r="J576" t="s">
        <v>501</v>
      </c>
      <c r="K576" t="s">
        <v>499</v>
      </c>
      <c r="L576" t="s">
        <v>32</v>
      </c>
      <c r="M576" t="s">
        <v>33</v>
      </c>
    </row>
    <row r="577" spans="2:13" ht="14.25" customHeight="1" x14ac:dyDescent="0.3">
      <c r="B577" s="3"/>
      <c r="C577" t="s">
        <v>463</v>
      </c>
      <c r="D577">
        <v>75</v>
      </c>
      <c r="E577">
        <v>48</v>
      </c>
      <c r="F577">
        <v>6</v>
      </c>
      <c r="G577">
        <v>1000</v>
      </c>
      <c r="H577">
        <v>1</v>
      </c>
      <c r="I577" s="2">
        <f>3.46+3.2</f>
        <v>6.66</v>
      </c>
      <c r="J577" t="s">
        <v>502</v>
      </c>
      <c r="K577" t="s">
        <v>503</v>
      </c>
      <c r="L577" t="s">
        <v>32</v>
      </c>
      <c r="M577" t="s">
        <v>23</v>
      </c>
    </row>
    <row r="578" spans="2:13" ht="14.25" customHeight="1" x14ac:dyDescent="0.3">
      <c r="B578" s="3"/>
      <c r="C578" t="s">
        <v>124</v>
      </c>
      <c r="D578">
        <v>75.2</v>
      </c>
      <c r="E578">
        <v>9</v>
      </c>
      <c r="F578">
        <v>2</v>
      </c>
      <c r="G578">
        <v>4</v>
      </c>
      <c r="H578">
        <v>1</v>
      </c>
      <c r="I578" s="2">
        <v>3.05</v>
      </c>
      <c r="J578" t="s">
        <v>474</v>
      </c>
      <c r="K578" t="s">
        <v>475</v>
      </c>
      <c r="L578" t="s">
        <v>127</v>
      </c>
      <c r="M578" t="s">
        <v>33</v>
      </c>
    </row>
    <row r="579" spans="2:13" ht="14.25" customHeight="1" x14ac:dyDescent="0.3">
      <c r="B579" s="3"/>
      <c r="C579" t="s">
        <v>124</v>
      </c>
      <c r="D579">
        <v>75.3</v>
      </c>
      <c r="E579">
        <v>6</v>
      </c>
      <c r="F579">
        <v>2</v>
      </c>
      <c r="G579">
        <v>4</v>
      </c>
      <c r="H579">
        <v>1</v>
      </c>
      <c r="I579" s="2">
        <v>2.2000000000000002</v>
      </c>
      <c r="J579" t="s">
        <v>474</v>
      </c>
      <c r="K579" t="s">
        <v>475</v>
      </c>
      <c r="L579" t="s">
        <v>127</v>
      </c>
      <c r="M579" t="s">
        <v>23</v>
      </c>
    </row>
    <row r="580" spans="2:13" ht="14.25" customHeight="1" x14ac:dyDescent="0.3">
      <c r="B580" s="3"/>
      <c r="C580" t="s">
        <v>124</v>
      </c>
      <c r="D580">
        <v>75.3</v>
      </c>
      <c r="E580">
        <v>72.400000000000006</v>
      </c>
      <c r="F580">
        <v>2</v>
      </c>
      <c r="G580">
        <v>2</v>
      </c>
      <c r="H580">
        <v>1</v>
      </c>
      <c r="I580" s="2">
        <v>23.8</v>
      </c>
      <c r="J580" t="s">
        <v>474</v>
      </c>
      <c r="K580" t="s">
        <v>475</v>
      </c>
      <c r="L580" t="s">
        <v>127</v>
      </c>
      <c r="M580" t="s">
        <v>33</v>
      </c>
    </row>
    <row r="581" spans="2:13" ht="14.25" customHeight="1" x14ac:dyDescent="0.3">
      <c r="B581" s="3"/>
      <c r="C581" t="s">
        <v>413</v>
      </c>
      <c r="D581">
        <v>76.3</v>
      </c>
      <c r="E581">
        <v>39.9</v>
      </c>
      <c r="F581">
        <v>5</v>
      </c>
      <c r="G581">
        <v>70</v>
      </c>
      <c r="H581">
        <v>1</v>
      </c>
      <c r="I581" s="2">
        <f>13.14+90/70</f>
        <v>14.425714285714287</v>
      </c>
      <c r="J581" t="s">
        <v>361</v>
      </c>
      <c r="K581" t="s">
        <v>504</v>
      </c>
      <c r="L581" t="s">
        <v>32</v>
      </c>
      <c r="M581" t="s">
        <v>23</v>
      </c>
    </row>
    <row r="582" spans="2:13" ht="14.25" customHeight="1" x14ac:dyDescent="0.3">
      <c r="B582" s="3"/>
      <c r="C582" t="s">
        <v>413</v>
      </c>
      <c r="D582">
        <v>76.7</v>
      </c>
      <c r="E582">
        <v>57.7</v>
      </c>
      <c r="F582">
        <v>17.5</v>
      </c>
      <c r="G582">
        <v>1</v>
      </c>
      <c r="H582">
        <v>1</v>
      </c>
      <c r="I582" s="2">
        <v>144</v>
      </c>
      <c r="J582" t="s">
        <v>505</v>
      </c>
      <c r="K582" t="s">
        <v>506</v>
      </c>
      <c r="L582" t="s">
        <v>89</v>
      </c>
      <c r="M582" t="s">
        <v>33</v>
      </c>
    </row>
    <row r="583" spans="2:13" ht="14.25" customHeight="1" x14ac:dyDescent="0.3">
      <c r="B583" s="3"/>
      <c r="C583" t="s">
        <v>413</v>
      </c>
      <c r="D583">
        <v>76.7</v>
      </c>
      <c r="E583">
        <v>57.7</v>
      </c>
      <c r="F583">
        <v>17.5</v>
      </c>
      <c r="G583">
        <v>1</v>
      </c>
      <c r="H583">
        <v>1</v>
      </c>
      <c r="I583" s="2">
        <v>190</v>
      </c>
      <c r="J583" t="s">
        <v>507</v>
      </c>
      <c r="K583" t="s">
        <v>508</v>
      </c>
      <c r="L583" t="s">
        <v>32</v>
      </c>
      <c r="M583" t="s">
        <v>33</v>
      </c>
    </row>
    <row r="584" spans="2:13" ht="14.25" customHeight="1" x14ac:dyDescent="0.3">
      <c r="B584" s="3"/>
      <c r="C584" t="s">
        <v>457</v>
      </c>
      <c r="D584">
        <v>77</v>
      </c>
      <c r="E584">
        <v>58</v>
      </c>
      <c r="F584">
        <v>3</v>
      </c>
      <c r="G584">
        <v>12</v>
      </c>
      <c r="H584">
        <v>1</v>
      </c>
      <c r="I584" s="2">
        <v>21</v>
      </c>
      <c r="J584" t="s">
        <v>460</v>
      </c>
      <c r="K584" t="s">
        <v>461</v>
      </c>
      <c r="L584" t="s">
        <v>32</v>
      </c>
      <c r="M584" t="s">
        <v>33</v>
      </c>
    </row>
    <row r="585" spans="2:13" ht="14.25" customHeight="1" x14ac:dyDescent="0.3">
      <c r="B585" s="3"/>
      <c r="C585" t="s">
        <v>457</v>
      </c>
      <c r="D585">
        <v>77</v>
      </c>
      <c r="E585">
        <v>58</v>
      </c>
      <c r="F585">
        <v>3</v>
      </c>
      <c r="G585">
        <v>50</v>
      </c>
      <c r="H585">
        <v>1</v>
      </c>
      <c r="I585" s="2">
        <v>14</v>
      </c>
      <c r="J585" t="s">
        <v>460</v>
      </c>
      <c r="K585" t="s">
        <v>461</v>
      </c>
      <c r="L585" t="s">
        <v>32</v>
      </c>
      <c r="M585" t="s">
        <v>51</v>
      </c>
    </row>
    <row r="586" spans="2:13" ht="14.25" customHeight="1" x14ac:dyDescent="0.3">
      <c r="B586" s="3"/>
      <c r="C586" t="s">
        <v>457</v>
      </c>
      <c r="D586">
        <v>77</v>
      </c>
      <c r="E586">
        <v>58</v>
      </c>
      <c r="F586">
        <v>6</v>
      </c>
      <c r="G586">
        <v>50</v>
      </c>
      <c r="H586">
        <v>1</v>
      </c>
      <c r="I586" s="2">
        <v>3.91</v>
      </c>
      <c r="J586" t="s">
        <v>458</v>
      </c>
      <c r="K586" t="s">
        <v>509</v>
      </c>
      <c r="L586" t="s">
        <v>32</v>
      </c>
      <c r="M586" t="s">
        <v>51</v>
      </c>
    </row>
    <row r="587" spans="2:13" ht="14.25" customHeight="1" x14ac:dyDescent="0.3">
      <c r="B587" s="3"/>
      <c r="C587" t="s">
        <v>457</v>
      </c>
      <c r="D587">
        <v>77</v>
      </c>
      <c r="E587">
        <v>58</v>
      </c>
      <c r="F587">
        <v>7.5</v>
      </c>
      <c r="G587">
        <v>1</v>
      </c>
      <c r="H587">
        <v>1</v>
      </c>
      <c r="I587" s="2">
        <v>5</v>
      </c>
      <c r="J587" t="s">
        <v>458</v>
      </c>
      <c r="K587" t="s">
        <v>509</v>
      </c>
      <c r="L587" t="s">
        <v>32</v>
      </c>
      <c r="M587" t="s">
        <v>51</v>
      </c>
    </row>
    <row r="588" spans="2:13" ht="14.25" customHeight="1" x14ac:dyDescent="0.3">
      <c r="B588" s="3"/>
      <c r="C588" t="s">
        <v>457</v>
      </c>
      <c r="D588">
        <v>77</v>
      </c>
      <c r="E588">
        <v>58</v>
      </c>
      <c r="F588">
        <v>7.5</v>
      </c>
      <c r="G588">
        <v>50</v>
      </c>
      <c r="H588">
        <v>1</v>
      </c>
      <c r="I588" s="2">
        <v>5</v>
      </c>
      <c r="J588" t="s">
        <v>458</v>
      </c>
      <c r="K588" t="s">
        <v>509</v>
      </c>
      <c r="L588" t="s">
        <v>32</v>
      </c>
      <c r="M588" t="s">
        <v>33</v>
      </c>
    </row>
    <row r="589" spans="2:13" ht="14.25" customHeight="1" x14ac:dyDescent="0.3">
      <c r="B589" s="3"/>
      <c r="C589" t="s">
        <v>457</v>
      </c>
      <c r="D589">
        <v>77</v>
      </c>
      <c r="E589">
        <v>58</v>
      </c>
      <c r="F589">
        <v>9</v>
      </c>
      <c r="G589">
        <v>12</v>
      </c>
      <c r="H589">
        <v>1</v>
      </c>
      <c r="I589" s="2">
        <v>34</v>
      </c>
      <c r="J589" t="s">
        <v>460</v>
      </c>
      <c r="K589" t="s">
        <v>461</v>
      </c>
      <c r="L589" t="s">
        <v>40</v>
      </c>
      <c r="M589" t="s">
        <v>33</v>
      </c>
    </row>
    <row r="590" spans="2:13" ht="14.25" customHeight="1" x14ac:dyDescent="0.3">
      <c r="B590" s="3"/>
      <c r="C590" t="s">
        <v>457</v>
      </c>
      <c r="D590">
        <v>77</v>
      </c>
      <c r="E590">
        <v>58</v>
      </c>
      <c r="F590">
        <v>9</v>
      </c>
      <c r="G590">
        <v>50</v>
      </c>
      <c r="H590">
        <v>1</v>
      </c>
      <c r="I590" s="2">
        <v>27</v>
      </c>
      <c r="J590" t="s">
        <v>460</v>
      </c>
      <c r="K590" t="s">
        <v>461</v>
      </c>
      <c r="L590" t="s">
        <v>40</v>
      </c>
      <c r="M590" t="s">
        <v>23</v>
      </c>
    </row>
    <row r="591" spans="2:13" ht="14.25" customHeight="1" x14ac:dyDescent="0.3">
      <c r="B591" s="3"/>
      <c r="C591" t="s">
        <v>510</v>
      </c>
      <c r="D591">
        <v>77.2</v>
      </c>
      <c r="E591">
        <v>64.5</v>
      </c>
      <c r="F591">
        <v>9</v>
      </c>
      <c r="G591">
        <v>2</v>
      </c>
      <c r="H591">
        <v>1</v>
      </c>
      <c r="I591" s="2">
        <v>66.38</v>
      </c>
      <c r="J591" t="s">
        <v>511</v>
      </c>
      <c r="K591" t="s">
        <v>512</v>
      </c>
      <c r="L591" t="s">
        <v>32</v>
      </c>
      <c r="M591" t="s">
        <v>51</v>
      </c>
    </row>
    <row r="592" spans="2:13" ht="14.25" customHeight="1" x14ac:dyDescent="0.3">
      <c r="B592" s="3"/>
      <c r="C592" t="s">
        <v>120</v>
      </c>
      <c r="D592">
        <v>78.599999999999994</v>
      </c>
      <c r="E592">
        <v>48</v>
      </c>
      <c r="F592">
        <v>8</v>
      </c>
      <c r="G592">
        <v>2</v>
      </c>
      <c r="H592">
        <v>1</v>
      </c>
      <c r="I592" s="2">
        <v>5.2</v>
      </c>
      <c r="J592" t="s">
        <v>331</v>
      </c>
      <c r="K592" t="s">
        <v>332</v>
      </c>
      <c r="L592" t="s">
        <v>32</v>
      </c>
      <c r="M592" t="s">
        <v>28</v>
      </c>
    </row>
    <row r="593" spans="2:13" ht="14.25" customHeight="1" x14ac:dyDescent="0.3">
      <c r="B593" s="3"/>
      <c r="C593" t="s">
        <v>120</v>
      </c>
      <c r="D593">
        <v>78.599999999999994</v>
      </c>
      <c r="E593">
        <v>48</v>
      </c>
      <c r="F593">
        <v>8</v>
      </c>
      <c r="G593">
        <v>2</v>
      </c>
      <c r="H593">
        <v>1</v>
      </c>
      <c r="I593" s="2">
        <v>15</v>
      </c>
      <c r="J593" t="s">
        <v>400</v>
      </c>
      <c r="K593" t="s">
        <v>376</v>
      </c>
      <c r="L593" t="s">
        <v>22</v>
      </c>
      <c r="M593" t="s">
        <v>33</v>
      </c>
    </row>
    <row r="594" spans="2:13" ht="14.25" customHeight="1" x14ac:dyDescent="0.3">
      <c r="B594" s="3"/>
      <c r="C594" t="s">
        <v>120</v>
      </c>
      <c r="D594">
        <v>78.599999999999994</v>
      </c>
      <c r="E594">
        <v>48</v>
      </c>
      <c r="F594">
        <v>8</v>
      </c>
      <c r="G594">
        <v>2</v>
      </c>
      <c r="H594">
        <v>1</v>
      </c>
      <c r="I594" s="2">
        <v>23.5</v>
      </c>
      <c r="J594" t="s">
        <v>400</v>
      </c>
      <c r="K594" t="s">
        <v>513</v>
      </c>
      <c r="L594" t="s">
        <v>89</v>
      </c>
      <c r="M594" t="s">
        <v>33</v>
      </c>
    </row>
    <row r="595" spans="2:13" ht="14.25" customHeight="1" x14ac:dyDescent="0.3">
      <c r="B595" s="3"/>
      <c r="C595" t="s">
        <v>120</v>
      </c>
      <c r="D595">
        <v>78.599999999999994</v>
      </c>
      <c r="E595">
        <v>48</v>
      </c>
      <c r="F595">
        <v>8</v>
      </c>
      <c r="G595">
        <v>2</v>
      </c>
      <c r="H595">
        <v>1</v>
      </c>
      <c r="I595" s="2">
        <v>33.6</v>
      </c>
      <c r="J595" t="s">
        <v>331</v>
      </c>
      <c r="K595" t="s">
        <v>273</v>
      </c>
      <c r="L595" t="s">
        <v>89</v>
      </c>
      <c r="M595" t="s">
        <v>23</v>
      </c>
    </row>
    <row r="596" spans="2:13" ht="14.25" customHeight="1" x14ac:dyDescent="0.3">
      <c r="B596" s="3"/>
      <c r="C596" t="s">
        <v>489</v>
      </c>
      <c r="D596">
        <v>79.7</v>
      </c>
      <c r="E596">
        <v>12</v>
      </c>
      <c r="F596">
        <v>4</v>
      </c>
      <c r="G596">
        <v>1</v>
      </c>
      <c r="H596">
        <v>1</v>
      </c>
      <c r="I596" s="2">
        <v>1.5</v>
      </c>
      <c r="J596" t="s">
        <v>490</v>
      </c>
      <c r="K596" t="s">
        <v>491</v>
      </c>
      <c r="L596" t="s">
        <v>27</v>
      </c>
      <c r="M596" t="s">
        <v>23</v>
      </c>
    </row>
    <row r="597" spans="2:13" ht="14.25" customHeight="1" x14ac:dyDescent="0.3">
      <c r="B597" s="3"/>
      <c r="C597" t="s">
        <v>489</v>
      </c>
      <c r="D597">
        <v>79.7</v>
      </c>
      <c r="E597">
        <v>57.7</v>
      </c>
      <c r="F597">
        <v>3</v>
      </c>
      <c r="G597">
        <v>1</v>
      </c>
      <c r="H597">
        <v>1</v>
      </c>
      <c r="I597" s="2">
        <v>4.88</v>
      </c>
      <c r="J597" t="s">
        <v>490</v>
      </c>
      <c r="K597" t="s">
        <v>491</v>
      </c>
      <c r="L597" t="s">
        <v>27</v>
      </c>
      <c r="M597" t="s">
        <v>23</v>
      </c>
    </row>
    <row r="598" spans="2:13" ht="14.25" customHeight="1" x14ac:dyDescent="0.3">
      <c r="B598" s="3"/>
      <c r="C598" t="s">
        <v>443</v>
      </c>
      <c r="D598">
        <v>80</v>
      </c>
      <c r="E598">
        <v>10</v>
      </c>
      <c r="F598">
        <v>8</v>
      </c>
      <c r="G598">
        <v>2</v>
      </c>
      <c r="H598">
        <v>1</v>
      </c>
      <c r="I598" s="2">
        <v>8</v>
      </c>
      <c r="J598" t="s">
        <v>514</v>
      </c>
      <c r="K598" t="s">
        <v>515</v>
      </c>
      <c r="L598" t="s">
        <v>89</v>
      </c>
      <c r="M598" t="s">
        <v>23</v>
      </c>
    </row>
    <row r="599" spans="2:13" ht="14.25" customHeight="1" x14ac:dyDescent="0.3">
      <c r="B599" s="3"/>
      <c r="C599" t="s">
        <v>443</v>
      </c>
      <c r="D599">
        <v>80</v>
      </c>
      <c r="E599">
        <v>10</v>
      </c>
      <c r="F599">
        <v>10</v>
      </c>
      <c r="G599">
        <v>2</v>
      </c>
      <c r="H599">
        <v>1</v>
      </c>
      <c r="I599" s="2">
        <v>10</v>
      </c>
      <c r="J599" t="s">
        <v>514</v>
      </c>
      <c r="K599" t="s">
        <v>515</v>
      </c>
      <c r="L599" t="s">
        <v>89</v>
      </c>
      <c r="M599" t="s">
        <v>23</v>
      </c>
    </row>
    <row r="600" spans="2:13" ht="14.25" customHeight="1" x14ac:dyDescent="0.3">
      <c r="B600" s="3"/>
      <c r="C600" t="s">
        <v>516</v>
      </c>
      <c r="D600">
        <v>80</v>
      </c>
      <c r="E600">
        <v>15</v>
      </c>
      <c r="F600">
        <v>2.2000000000000002</v>
      </c>
      <c r="G600">
        <v>30</v>
      </c>
      <c r="H600">
        <v>1</v>
      </c>
      <c r="I600" s="2">
        <v>3.42</v>
      </c>
      <c r="J600" t="s">
        <v>517</v>
      </c>
      <c r="K600" t="s">
        <v>518</v>
      </c>
      <c r="L600" t="s">
        <v>27</v>
      </c>
      <c r="M600" t="s">
        <v>23</v>
      </c>
    </row>
    <row r="601" spans="2:13" ht="14.25" customHeight="1" x14ac:dyDescent="0.3">
      <c r="B601" s="3"/>
      <c r="C601" t="s">
        <v>516</v>
      </c>
      <c r="D601">
        <v>80</v>
      </c>
      <c r="E601">
        <v>15</v>
      </c>
      <c r="F601">
        <v>2.2000000000000002</v>
      </c>
      <c r="G601">
        <v>30</v>
      </c>
      <c r="H601">
        <v>1</v>
      </c>
      <c r="I601" s="2">
        <v>3.75</v>
      </c>
      <c r="J601" t="s">
        <v>517</v>
      </c>
      <c r="K601" t="s">
        <v>519</v>
      </c>
      <c r="L601" t="s">
        <v>27</v>
      </c>
      <c r="M601" t="s">
        <v>33</v>
      </c>
    </row>
    <row r="602" spans="2:13" ht="14.25" customHeight="1" x14ac:dyDescent="0.3">
      <c r="B602" s="3"/>
      <c r="C602" t="s">
        <v>463</v>
      </c>
      <c r="D602">
        <v>82</v>
      </c>
      <c r="E602">
        <v>60</v>
      </c>
      <c r="F602">
        <v>3</v>
      </c>
      <c r="G602">
        <v>1000</v>
      </c>
      <c r="H602">
        <v>1</v>
      </c>
      <c r="I602" s="2">
        <v>4.6100000000000003</v>
      </c>
      <c r="J602" t="s">
        <v>502</v>
      </c>
      <c r="K602" t="s">
        <v>520</v>
      </c>
      <c r="L602" t="s">
        <v>32</v>
      </c>
      <c r="M602" t="s">
        <v>23</v>
      </c>
    </row>
    <row r="603" spans="2:13" ht="14.25" customHeight="1" x14ac:dyDescent="0.3">
      <c r="B603" s="3"/>
      <c r="C603" t="s">
        <v>463</v>
      </c>
      <c r="D603">
        <v>82</v>
      </c>
      <c r="E603">
        <v>60</v>
      </c>
      <c r="F603">
        <v>6</v>
      </c>
      <c r="G603">
        <v>108</v>
      </c>
      <c r="H603">
        <v>1</v>
      </c>
      <c r="I603" s="2">
        <v>11</v>
      </c>
      <c r="J603" t="s">
        <v>521</v>
      </c>
      <c r="K603" t="s">
        <v>465</v>
      </c>
      <c r="L603" t="s">
        <v>32</v>
      </c>
      <c r="M603" t="s">
        <v>33</v>
      </c>
    </row>
    <row r="604" spans="2:13" ht="14.25" customHeight="1" x14ac:dyDescent="0.3">
      <c r="B604" s="3"/>
      <c r="C604" t="s">
        <v>463</v>
      </c>
      <c r="D604">
        <v>82</v>
      </c>
      <c r="E604">
        <v>60</v>
      </c>
      <c r="F604">
        <v>6</v>
      </c>
      <c r="G604">
        <v>216</v>
      </c>
      <c r="H604">
        <v>1</v>
      </c>
      <c r="I604" s="2">
        <v>10.050000000000001</v>
      </c>
      <c r="J604" t="s">
        <v>521</v>
      </c>
      <c r="K604" t="s">
        <v>465</v>
      </c>
      <c r="L604" t="s">
        <v>32</v>
      </c>
      <c r="M604" t="s">
        <v>33</v>
      </c>
    </row>
    <row r="605" spans="2:13" ht="14.25" customHeight="1" x14ac:dyDescent="0.3">
      <c r="B605" s="3"/>
      <c r="C605" t="s">
        <v>191</v>
      </c>
      <c r="D605">
        <v>82</v>
      </c>
      <c r="E605">
        <v>60</v>
      </c>
      <c r="F605">
        <v>7</v>
      </c>
      <c r="G605">
        <v>6</v>
      </c>
      <c r="H605">
        <v>1</v>
      </c>
      <c r="I605" s="2">
        <v>45</v>
      </c>
      <c r="J605" t="s">
        <v>522</v>
      </c>
      <c r="K605" t="s">
        <v>523</v>
      </c>
      <c r="L605" t="s">
        <v>32</v>
      </c>
      <c r="M605" t="s">
        <v>23</v>
      </c>
    </row>
    <row r="606" spans="2:13" ht="14.25" customHeight="1" x14ac:dyDescent="0.3">
      <c r="B606" s="3"/>
      <c r="C606" t="s">
        <v>524</v>
      </c>
      <c r="D606">
        <v>86.3</v>
      </c>
      <c r="E606">
        <v>60.9</v>
      </c>
      <c r="F606">
        <v>2</v>
      </c>
      <c r="G606">
        <v>10</v>
      </c>
      <c r="H606">
        <v>1</v>
      </c>
      <c r="I606" s="2">
        <v>26.64</v>
      </c>
      <c r="J606" t="s">
        <v>84</v>
      </c>
      <c r="K606" t="s">
        <v>525</v>
      </c>
      <c r="L606" t="s">
        <v>89</v>
      </c>
      <c r="M606" t="s">
        <v>33</v>
      </c>
    </row>
    <row r="607" spans="2:13" ht="14.25" customHeight="1" x14ac:dyDescent="0.3">
      <c r="B607" s="3"/>
      <c r="C607" t="s">
        <v>524</v>
      </c>
      <c r="D607">
        <v>86.3</v>
      </c>
      <c r="E607">
        <v>60.9</v>
      </c>
      <c r="F607">
        <v>2</v>
      </c>
      <c r="G607">
        <v>10</v>
      </c>
      <c r="H607">
        <v>1</v>
      </c>
      <c r="I607" s="2">
        <v>63.12</v>
      </c>
      <c r="J607" t="s">
        <v>30</v>
      </c>
      <c r="K607" t="s">
        <v>526</v>
      </c>
      <c r="L607" t="s">
        <v>32</v>
      </c>
      <c r="M607" t="s">
        <v>33</v>
      </c>
    </row>
    <row r="608" spans="2:13" ht="14.25" customHeight="1" x14ac:dyDescent="0.3">
      <c r="B608" s="3"/>
      <c r="C608" t="s">
        <v>486</v>
      </c>
      <c r="D608">
        <v>86.4</v>
      </c>
      <c r="E608">
        <v>61</v>
      </c>
      <c r="F608">
        <v>2</v>
      </c>
      <c r="G608">
        <v>8032</v>
      </c>
      <c r="H608">
        <v>1</v>
      </c>
      <c r="I608" s="2">
        <v>4.2</v>
      </c>
      <c r="J608" t="s">
        <v>487</v>
      </c>
      <c r="K608" t="s">
        <v>488</v>
      </c>
      <c r="L608" t="s">
        <v>32</v>
      </c>
      <c r="M608" t="s">
        <v>28</v>
      </c>
    </row>
    <row r="609" spans="2:13" ht="14.25" customHeight="1" x14ac:dyDescent="0.3">
      <c r="B609" s="3"/>
      <c r="C609" t="s">
        <v>486</v>
      </c>
      <c r="D609">
        <v>86.4</v>
      </c>
      <c r="E609">
        <v>61</v>
      </c>
      <c r="F609">
        <v>2</v>
      </c>
      <c r="G609">
        <v>8032</v>
      </c>
      <c r="H609">
        <v>1</v>
      </c>
      <c r="I609" s="2">
        <v>7.67</v>
      </c>
      <c r="J609" t="s">
        <v>527</v>
      </c>
      <c r="K609" t="s">
        <v>488</v>
      </c>
      <c r="L609" t="s">
        <v>32</v>
      </c>
      <c r="M609" t="s">
        <v>51</v>
      </c>
    </row>
    <row r="610" spans="2:13" ht="14.25" customHeight="1" x14ac:dyDescent="0.3">
      <c r="B610" s="3"/>
      <c r="C610" t="s">
        <v>120</v>
      </c>
      <c r="D610">
        <v>88.6</v>
      </c>
      <c r="E610">
        <v>28.8</v>
      </c>
      <c r="F610">
        <v>5</v>
      </c>
      <c r="G610">
        <v>1</v>
      </c>
      <c r="H610">
        <v>1</v>
      </c>
      <c r="I610" s="2">
        <v>2.2000000000000002</v>
      </c>
      <c r="J610" t="s">
        <v>331</v>
      </c>
      <c r="K610" t="s">
        <v>332</v>
      </c>
      <c r="L610" t="s">
        <v>32</v>
      </c>
      <c r="M610" t="s">
        <v>33</v>
      </c>
    </row>
    <row r="611" spans="2:13" ht="14.25" customHeight="1" x14ac:dyDescent="0.3">
      <c r="B611" s="3"/>
      <c r="C611" t="s">
        <v>120</v>
      </c>
      <c r="D611">
        <v>88.6</v>
      </c>
      <c r="E611">
        <v>28.8</v>
      </c>
      <c r="F611">
        <v>5</v>
      </c>
      <c r="G611">
        <v>1</v>
      </c>
      <c r="H611">
        <v>1</v>
      </c>
      <c r="I611" s="2">
        <v>6.27</v>
      </c>
      <c r="J611" t="s">
        <v>331</v>
      </c>
      <c r="K611" t="s">
        <v>333</v>
      </c>
      <c r="L611" t="s">
        <v>22</v>
      </c>
      <c r="M611" t="s">
        <v>33</v>
      </c>
    </row>
    <row r="612" spans="2:13" ht="14.25" customHeight="1" x14ac:dyDescent="0.3">
      <c r="B612" s="3"/>
      <c r="C612" t="s">
        <v>120</v>
      </c>
      <c r="D612">
        <v>88.6</v>
      </c>
      <c r="E612">
        <v>28.8</v>
      </c>
      <c r="F612">
        <v>5</v>
      </c>
      <c r="G612">
        <v>1</v>
      </c>
      <c r="H612">
        <v>1</v>
      </c>
      <c r="I612" s="2">
        <v>13.86</v>
      </c>
      <c r="J612" t="s">
        <v>331</v>
      </c>
      <c r="K612" t="s">
        <v>273</v>
      </c>
      <c r="L612" t="s">
        <v>89</v>
      </c>
      <c r="M612" t="s">
        <v>28</v>
      </c>
    </row>
    <row r="613" spans="2:13" ht="14.25" customHeight="1" x14ac:dyDescent="0.3">
      <c r="B613" s="3"/>
      <c r="C613" t="s">
        <v>147</v>
      </c>
      <c r="D613">
        <v>89.1</v>
      </c>
      <c r="E613">
        <v>24.5</v>
      </c>
      <c r="F613">
        <v>5.9</v>
      </c>
      <c r="G613">
        <v>450</v>
      </c>
      <c r="H613">
        <v>1</v>
      </c>
      <c r="I613" s="2">
        <v>0.56000000000000005</v>
      </c>
      <c r="J613" t="s">
        <v>361</v>
      </c>
      <c r="K613" t="s">
        <v>528</v>
      </c>
      <c r="M613" t="s">
        <v>28</v>
      </c>
    </row>
    <row r="614" spans="2:13" ht="14.25" customHeight="1" x14ac:dyDescent="0.3">
      <c r="B614" s="3"/>
      <c r="C614" t="s">
        <v>147</v>
      </c>
      <c r="D614">
        <v>89.1</v>
      </c>
      <c r="E614">
        <v>24.5</v>
      </c>
      <c r="F614">
        <v>18</v>
      </c>
      <c r="G614">
        <v>450</v>
      </c>
      <c r="H614">
        <v>1</v>
      </c>
      <c r="I614" s="2">
        <v>1.05</v>
      </c>
      <c r="J614" t="s">
        <v>361</v>
      </c>
      <c r="K614" t="s">
        <v>528</v>
      </c>
      <c r="M614" t="s">
        <v>33</v>
      </c>
    </row>
    <row r="615" spans="2:13" ht="14.25" customHeight="1" x14ac:dyDescent="0.3">
      <c r="B615" s="3"/>
      <c r="C615" t="s">
        <v>147</v>
      </c>
      <c r="D615">
        <v>89.1</v>
      </c>
      <c r="E615">
        <v>24.5</v>
      </c>
      <c r="F615">
        <v>18</v>
      </c>
      <c r="G615">
        <v>450</v>
      </c>
      <c r="H615">
        <v>1</v>
      </c>
      <c r="I615" s="2">
        <v>1.1200000000000001</v>
      </c>
      <c r="J615" t="s">
        <v>361</v>
      </c>
      <c r="K615" t="s">
        <v>528</v>
      </c>
      <c r="M615" t="s">
        <v>23</v>
      </c>
    </row>
    <row r="616" spans="2:13" ht="14.25" customHeight="1" x14ac:dyDescent="0.3">
      <c r="B616" s="3"/>
      <c r="C616" t="s">
        <v>443</v>
      </c>
      <c r="D616">
        <v>90</v>
      </c>
      <c r="E616">
        <v>10</v>
      </c>
      <c r="F616">
        <v>18</v>
      </c>
      <c r="G616">
        <v>4</v>
      </c>
      <c r="H616">
        <v>1</v>
      </c>
      <c r="I616" s="2">
        <v>19.7</v>
      </c>
      <c r="J616" t="s">
        <v>430</v>
      </c>
      <c r="K616" t="s">
        <v>515</v>
      </c>
      <c r="L616" t="s">
        <v>89</v>
      </c>
      <c r="M616" t="s">
        <v>23</v>
      </c>
    </row>
    <row r="617" spans="2:13" ht="14.25" customHeight="1" x14ac:dyDescent="0.3">
      <c r="B617" s="3"/>
      <c r="C617" t="s">
        <v>529</v>
      </c>
      <c r="D617">
        <v>90</v>
      </c>
      <c r="E617">
        <v>60</v>
      </c>
      <c r="F617">
        <v>30</v>
      </c>
      <c r="G617">
        <v>1</v>
      </c>
      <c r="H617">
        <v>1</v>
      </c>
      <c r="I617" s="2">
        <v>18.899999999999999</v>
      </c>
      <c r="J617" t="s">
        <v>530</v>
      </c>
      <c r="K617" t="s">
        <v>531</v>
      </c>
      <c r="L617" t="s">
        <v>27</v>
      </c>
      <c r="M617" t="s">
        <v>33</v>
      </c>
    </row>
    <row r="618" spans="2:13" ht="14.25" customHeight="1" x14ac:dyDescent="0.3">
      <c r="B618" s="3"/>
      <c r="C618" t="s">
        <v>529</v>
      </c>
      <c r="D618">
        <v>90</v>
      </c>
      <c r="E618">
        <v>60</v>
      </c>
      <c r="F618">
        <v>30</v>
      </c>
      <c r="G618">
        <v>1</v>
      </c>
      <c r="H618">
        <v>1</v>
      </c>
      <c r="I618" s="2">
        <v>29</v>
      </c>
      <c r="J618" t="s">
        <v>532</v>
      </c>
      <c r="K618" t="s">
        <v>533</v>
      </c>
      <c r="L618" t="s">
        <v>32</v>
      </c>
      <c r="M618" t="s">
        <v>23</v>
      </c>
    </row>
    <row r="619" spans="2:13" ht="14.25" customHeight="1" x14ac:dyDescent="0.3">
      <c r="B619" s="3"/>
      <c r="C619" t="s">
        <v>529</v>
      </c>
      <c r="D619">
        <v>90</v>
      </c>
      <c r="E619">
        <v>60</v>
      </c>
      <c r="F619">
        <v>50</v>
      </c>
      <c r="G619">
        <v>1</v>
      </c>
      <c r="H619">
        <v>1</v>
      </c>
      <c r="I619" s="2">
        <v>28.8</v>
      </c>
      <c r="J619" t="s">
        <v>530</v>
      </c>
      <c r="K619" t="s">
        <v>534</v>
      </c>
      <c r="L619" t="s">
        <v>27</v>
      </c>
      <c r="M619" t="s">
        <v>33</v>
      </c>
    </row>
    <row r="620" spans="2:13" ht="14.25" customHeight="1" x14ac:dyDescent="0.3">
      <c r="B620" s="3"/>
      <c r="C620" t="s">
        <v>529</v>
      </c>
      <c r="D620">
        <v>90</v>
      </c>
      <c r="E620">
        <v>60</v>
      </c>
      <c r="F620">
        <v>50</v>
      </c>
      <c r="G620">
        <v>1</v>
      </c>
      <c r="H620">
        <v>1</v>
      </c>
      <c r="I620" s="2">
        <v>42</v>
      </c>
      <c r="J620" t="s">
        <v>532</v>
      </c>
      <c r="K620" t="s">
        <v>535</v>
      </c>
      <c r="L620" t="s">
        <v>32</v>
      </c>
      <c r="M620" t="s">
        <v>33</v>
      </c>
    </row>
    <row r="621" spans="2:13" ht="14.25" customHeight="1" x14ac:dyDescent="0.3">
      <c r="B621" s="3"/>
      <c r="C621" t="s">
        <v>124</v>
      </c>
      <c r="D621">
        <v>93.2</v>
      </c>
      <c r="E621">
        <v>71.099999999999994</v>
      </c>
      <c r="F621">
        <v>1</v>
      </c>
      <c r="G621">
        <v>2</v>
      </c>
      <c r="H621">
        <v>1</v>
      </c>
      <c r="I621" s="2">
        <v>22.08</v>
      </c>
      <c r="J621" t="s">
        <v>338</v>
      </c>
      <c r="K621" t="s">
        <v>473</v>
      </c>
      <c r="L621" t="s">
        <v>32</v>
      </c>
      <c r="M621" t="s">
        <v>23</v>
      </c>
    </row>
    <row r="622" spans="2:13" ht="14.25" customHeight="1" x14ac:dyDescent="0.3">
      <c r="B622" s="3"/>
      <c r="C622" t="s">
        <v>124</v>
      </c>
      <c r="D622">
        <v>93.2</v>
      </c>
      <c r="E622">
        <v>71.099999999999994</v>
      </c>
      <c r="F622">
        <v>1</v>
      </c>
      <c r="G622">
        <v>2</v>
      </c>
      <c r="H622">
        <v>1</v>
      </c>
      <c r="I622" s="2">
        <v>11.1</v>
      </c>
      <c r="J622" t="s">
        <v>474</v>
      </c>
      <c r="K622" t="s">
        <v>475</v>
      </c>
      <c r="L622" t="s">
        <v>127</v>
      </c>
      <c r="M622" t="s">
        <v>23</v>
      </c>
    </row>
    <row r="623" spans="2:13" ht="14.25" customHeight="1" x14ac:dyDescent="0.3">
      <c r="B623" s="3"/>
      <c r="C623" t="s">
        <v>207</v>
      </c>
      <c r="D623">
        <v>95</v>
      </c>
      <c r="E623">
        <v>15</v>
      </c>
      <c r="F623">
        <v>2.5</v>
      </c>
      <c r="G623">
        <v>1</v>
      </c>
      <c r="H623">
        <v>1</v>
      </c>
      <c r="I623" s="2">
        <v>1.42</v>
      </c>
      <c r="J623" t="s">
        <v>208</v>
      </c>
      <c r="K623" t="s">
        <v>209</v>
      </c>
      <c r="L623" t="s">
        <v>22</v>
      </c>
      <c r="M623" t="s">
        <v>23</v>
      </c>
    </row>
    <row r="624" spans="2:13" ht="14.25" customHeight="1" x14ac:dyDescent="0.3">
      <c r="B624" s="3"/>
      <c r="C624" t="s">
        <v>207</v>
      </c>
      <c r="D624">
        <v>95</v>
      </c>
      <c r="E624">
        <v>15</v>
      </c>
      <c r="F624">
        <v>2.5</v>
      </c>
      <c r="G624">
        <v>1</v>
      </c>
      <c r="H624">
        <v>1</v>
      </c>
      <c r="I624" s="2">
        <v>2.61</v>
      </c>
      <c r="J624" t="s">
        <v>208</v>
      </c>
      <c r="K624" t="s">
        <v>210</v>
      </c>
      <c r="L624" t="s">
        <v>89</v>
      </c>
      <c r="M624" t="s">
        <v>23</v>
      </c>
    </row>
    <row r="625" spans="2:13" ht="14.25" customHeight="1" x14ac:dyDescent="0.3">
      <c r="B625" s="3"/>
      <c r="C625" t="s">
        <v>207</v>
      </c>
      <c r="D625">
        <v>95</v>
      </c>
      <c r="E625">
        <v>15</v>
      </c>
      <c r="F625">
        <v>5</v>
      </c>
      <c r="G625">
        <v>1</v>
      </c>
      <c r="H625">
        <v>1</v>
      </c>
      <c r="I625" s="2">
        <v>2.85</v>
      </c>
      <c r="J625" t="s">
        <v>208</v>
      </c>
      <c r="K625" t="s">
        <v>209</v>
      </c>
      <c r="L625" t="s">
        <v>22</v>
      </c>
      <c r="M625" t="s">
        <v>23</v>
      </c>
    </row>
    <row r="626" spans="2:13" ht="14.25" customHeight="1" x14ac:dyDescent="0.3">
      <c r="B626" s="3"/>
      <c r="C626" t="s">
        <v>207</v>
      </c>
      <c r="D626">
        <v>95</v>
      </c>
      <c r="E626">
        <v>15</v>
      </c>
      <c r="F626">
        <v>5</v>
      </c>
      <c r="G626">
        <v>1</v>
      </c>
      <c r="H626">
        <v>1</v>
      </c>
      <c r="I626" s="2">
        <v>5.23</v>
      </c>
      <c r="J626" t="s">
        <v>208</v>
      </c>
      <c r="K626" t="s">
        <v>210</v>
      </c>
      <c r="L626" t="s">
        <v>89</v>
      </c>
      <c r="M626" t="s">
        <v>23</v>
      </c>
    </row>
    <row r="627" spans="2:13" ht="14.25" customHeight="1" x14ac:dyDescent="0.3">
      <c r="B627" s="3"/>
      <c r="C627" t="s">
        <v>207</v>
      </c>
      <c r="D627">
        <v>95</v>
      </c>
      <c r="E627">
        <v>15</v>
      </c>
      <c r="F627">
        <v>17</v>
      </c>
      <c r="G627">
        <v>1</v>
      </c>
      <c r="H627">
        <v>1</v>
      </c>
      <c r="I627" s="2">
        <v>10.19</v>
      </c>
      <c r="J627" t="s">
        <v>208</v>
      </c>
      <c r="K627" t="s">
        <v>209</v>
      </c>
      <c r="L627" t="s">
        <v>22</v>
      </c>
      <c r="M627" t="s">
        <v>23</v>
      </c>
    </row>
    <row r="628" spans="2:13" ht="14.25" customHeight="1" x14ac:dyDescent="0.3">
      <c r="B628" s="3"/>
      <c r="C628" t="s">
        <v>207</v>
      </c>
      <c r="D628">
        <v>95</v>
      </c>
      <c r="E628">
        <v>15</v>
      </c>
      <c r="F628">
        <v>17</v>
      </c>
      <c r="G628">
        <v>1</v>
      </c>
      <c r="H628">
        <v>1</v>
      </c>
      <c r="I628" s="2">
        <v>18.3</v>
      </c>
      <c r="J628" t="s">
        <v>208</v>
      </c>
      <c r="K628" t="s">
        <v>210</v>
      </c>
      <c r="L628" t="s">
        <v>89</v>
      </c>
      <c r="M628" t="s">
        <v>23</v>
      </c>
    </row>
    <row r="629" spans="2:13" ht="14.25" customHeight="1" x14ac:dyDescent="0.3">
      <c r="B629" s="3"/>
      <c r="C629" t="s">
        <v>207</v>
      </c>
      <c r="D629">
        <v>95</v>
      </c>
      <c r="E629">
        <v>15</v>
      </c>
      <c r="F629">
        <v>17.5</v>
      </c>
      <c r="G629">
        <v>1</v>
      </c>
      <c r="H629">
        <v>1</v>
      </c>
      <c r="I629" s="2">
        <v>10.5</v>
      </c>
      <c r="J629" t="s">
        <v>208</v>
      </c>
      <c r="K629" t="s">
        <v>209</v>
      </c>
      <c r="L629" t="s">
        <v>22</v>
      </c>
      <c r="M629" t="s">
        <v>23</v>
      </c>
    </row>
    <row r="630" spans="2:13" ht="14.25" customHeight="1" x14ac:dyDescent="0.3">
      <c r="B630" s="3"/>
      <c r="C630" t="s">
        <v>207</v>
      </c>
      <c r="D630">
        <v>95</v>
      </c>
      <c r="E630">
        <v>15</v>
      </c>
      <c r="F630">
        <v>17.5</v>
      </c>
      <c r="G630">
        <v>1</v>
      </c>
      <c r="H630">
        <v>1</v>
      </c>
      <c r="I630" s="2">
        <v>18.87</v>
      </c>
      <c r="J630" t="s">
        <v>208</v>
      </c>
      <c r="K630" t="s">
        <v>210</v>
      </c>
      <c r="L630" t="s">
        <v>89</v>
      </c>
      <c r="M630" t="s">
        <v>23</v>
      </c>
    </row>
    <row r="631" spans="2:13" ht="14.25" customHeight="1" x14ac:dyDescent="0.3">
      <c r="B631" s="3"/>
      <c r="C631" t="s">
        <v>207</v>
      </c>
      <c r="D631">
        <v>95</v>
      </c>
      <c r="E631">
        <v>18</v>
      </c>
      <c r="F631">
        <v>5</v>
      </c>
      <c r="G631">
        <v>1</v>
      </c>
      <c r="H631">
        <v>1</v>
      </c>
      <c r="I631" s="2">
        <v>3.42</v>
      </c>
      <c r="J631" t="s">
        <v>208</v>
      </c>
      <c r="K631" t="s">
        <v>209</v>
      </c>
      <c r="L631" t="s">
        <v>22</v>
      </c>
      <c r="M631" t="s">
        <v>23</v>
      </c>
    </row>
    <row r="632" spans="2:13" ht="14.25" customHeight="1" x14ac:dyDescent="0.3">
      <c r="B632" s="3"/>
      <c r="C632" t="s">
        <v>207</v>
      </c>
      <c r="D632">
        <v>95</v>
      </c>
      <c r="E632">
        <v>18</v>
      </c>
      <c r="F632">
        <v>5</v>
      </c>
      <c r="G632">
        <v>1</v>
      </c>
      <c r="H632">
        <v>1</v>
      </c>
      <c r="I632" s="2">
        <v>6.2839999999999998</v>
      </c>
      <c r="J632" t="s">
        <v>208</v>
      </c>
      <c r="K632" t="s">
        <v>210</v>
      </c>
      <c r="L632" t="s">
        <v>89</v>
      </c>
      <c r="M632" t="s">
        <v>23</v>
      </c>
    </row>
    <row r="633" spans="2:13" ht="14.25" customHeight="1" x14ac:dyDescent="0.3">
      <c r="B633" s="3"/>
      <c r="C633" t="s">
        <v>207</v>
      </c>
      <c r="D633">
        <v>95</v>
      </c>
      <c r="E633">
        <v>20</v>
      </c>
      <c r="F633">
        <v>7.5</v>
      </c>
      <c r="G633">
        <v>1</v>
      </c>
      <c r="H633">
        <v>1</v>
      </c>
      <c r="I633" s="2">
        <v>5.7</v>
      </c>
      <c r="J633" t="s">
        <v>208</v>
      </c>
      <c r="K633" t="s">
        <v>209</v>
      </c>
      <c r="L633" t="s">
        <v>22</v>
      </c>
      <c r="M633" t="s">
        <v>23</v>
      </c>
    </row>
    <row r="634" spans="2:13" ht="14.25" customHeight="1" x14ac:dyDescent="0.3">
      <c r="B634" s="3"/>
      <c r="C634" t="s">
        <v>207</v>
      </c>
      <c r="D634">
        <v>95</v>
      </c>
      <c r="E634">
        <v>40</v>
      </c>
      <c r="F634">
        <v>2.5</v>
      </c>
      <c r="G634">
        <v>1</v>
      </c>
      <c r="H634">
        <v>1</v>
      </c>
      <c r="I634" s="2">
        <v>3.8</v>
      </c>
      <c r="J634" t="s">
        <v>208</v>
      </c>
      <c r="K634" t="s">
        <v>209</v>
      </c>
      <c r="L634" t="s">
        <v>22</v>
      </c>
      <c r="M634" t="s">
        <v>23</v>
      </c>
    </row>
    <row r="635" spans="2:13" ht="14.25" customHeight="1" x14ac:dyDescent="0.3">
      <c r="B635" s="3"/>
      <c r="C635" t="s">
        <v>207</v>
      </c>
      <c r="D635">
        <v>95</v>
      </c>
      <c r="E635">
        <v>40</v>
      </c>
      <c r="F635">
        <v>2.5</v>
      </c>
      <c r="G635">
        <v>1</v>
      </c>
      <c r="H635">
        <v>1</v>
      </c>
      <c r="I635" s="2">
        <v>6.9829999999999997</v>
      </c>
      <c r="J635" t="s">
        <v>208</v>
      </c>
      <c r="K635" t="s">
        <v>210</v>
      </c>
      <c r="L635" t="s">
        <v>89</v>
      </c>
      <c r="M635" t="s">
        <v>23</v>
      </c>
    </row>
    <row r="636" spans="2:13" ht="14.25" customHeight="1" x14ac:dyDescent="0.3">
      <c r="B636" s="3"/>
      <c r="C636" t="s">
        <v>207</v>
      </c>
      <c r="D636">
        <v>95</v>
      </c>
      <c r="E636">
        <v>40</v>
      </c>
      <c r="F636">
        <v>4</v>
      </c>
      <c r="G636">
        <v>1</v>
      </c>
      <c r="H636">
        <v>1</v>
      </c>
      <c r="I636" s="2">
        <v>6.08</v>
      </c>
      <c r="J636" t="s">
        <v>208</v>
      </c>
      <c r="K636" t="s">
        <v>209</v>
      </c>
      <c r="L636" t="s">
        <v>22</v>
      </c>
      <c r="M636" t="s">
        <v>23</v>
      </c>
    </row>
    <row r="637" spans="2:13" ht="14.25" customHeight="1" x14ac:dyDescent="0.3">
      <c r="B637" s="3"/>
      <c r="C637" t="s">
        <v>207</v>
      </c>
      <c r="D637">
        <v>95</v>
      </c>
      <c r="E637">
        <v>40</v>
      </c>
      <c r="F637">
        <v>5</v>
      </c>
      <c r="G637">
        <v>1</v>
      </c>
      <c r="H637">
        <v>1</v>
      </c>
      <c r="I637" s="2">
        <v>7.6</v>
      </c>
      <c r="J637" t="s">
        <v>208</v>
      </c>
      <c r="K637" t="s">
        <v>209</v>
      </c>
      <c r="L637" t="s">
        <v>89</v>
      </c>
      <c r="M637" t="s">
        <v>23</v>
      </c>
    </row>
    <row r="638" spans="2:13" ht="14.25" customHeight="1" x14ac:dyDescent="0.3">
      <c r="B638" s="3"/>
      <c r="C638" t="s">
        <v>207</v>
      </c>
      <c r="D638">
        <v>95</v>
      </c>
      <c r="E638">
        <v>95</v>
      </c>
      <c r="F638">
        <v>5</v>
      </c>
      <c r="G638">
        <v>1</v>
      </c>
      <c r="H638">
        <v>1</v>
      </c>
      <c r="I638" s="2">
        <v>18.05</v>
      </c>
      <c r="J638" t="s">
        <v>208</v>
      </c>
      <c r="K638" t="s">
        <v>209</v>
      </c>
      <c r="L638" t="s">
        <v>89</v>
      </c>
      <c r="M638" t="s">
        <v>23</v>
      </c>
    </row>
    <row r="639" spans="2:13" ht="14.25" customHeight="1" x14ac:dyDescent="0.3">
      <c r="B639" s="3"/>
      <c r="C639" t="s">
        <v>207</v>
      </c>
      <c r="D639">
        <v>95</v>
      </c>
      <c r="E639">
        <v>95</v>
      </c>
      <c r="F639">
        <v>5</v>
      </c>
      <c r="G639">
        <v>1</v>
      </c>
      <c r="H639">
        <v>1</v>
      </c>
      <c r="I639" s="2">
        <v>33.17</v>
      </c>
      <c r="J639" t="s">
        <v>208</v>
      </c>
      <c r="K639" t="s">
        <v>210</v>
      </c>
      <c r="L639" t="s">
        <v>22</v>
      </c>
      <c r="M639" t="s">
        <v>23</v>
      </c>
    </row>
    <row r="640" spans="2:13" ht="14.25" customHeight="1" x14ac:dyDescent="0.3">
      <c r="B640" s="3"/>
      <c r="C640" t="s">
        <v>207</v>
      </c>
      <c r="D640">
        <v>95</v>
      </c>
      <c r="E640">
        <v>95</v>
      </c>
      <c r="F640">
        <v>7.5</v>
      </c>
      <c r="G640">
        <v>1</v>
      </c>
      <c r="H640">
        <v>1</v>
      </c>
      <c r="I640" s="2">
        <v>27.08</v>
      </c>
      <c r="J640" t="s">
        <v>208</v>
      </c>
      <c r="K640" t="s">
        <v>209</v>
      </c>
      <c r="L640" t="s">
        <v>89</v>
      </c>
      <c r="M640" t="s">
        <v>23</v>
      </c>
    </row>
    <row r="641" spans="2:13" ht="14.25" customHeight="1" x14ac:dyDescent="0.3">
      <c r="B641" s="3"/>
      <c r="C641" t="s">
        <v>207</v>
      </c>
      <c r="D641">
        <v>95</v>
      </c>
      <c r="E641">
        <v>95</v>
      </c>
      <c r="F641">
        <v>7.5</v>
      </c>
      <c r="G641">
        <v>1</v>
      </c>
      <c r="H641">
        <v>1</v>
      </c>
      <c r="I641" s="2">
        <v>49.76</v>
      </c>
      <c r="J641" t="s">
        <v>208</v>
      </c>
      <c r="K641" t="s">
        <v>210</v>
      </c>
      <c r="L641" t="s">
        <v>22</v>
      </c>
      <c r="M641" t="s">
        <v>23</v>
      </c>
    </row>
    <row r="642" spans="2:13" ht="14.25" customHeight="1" x14ac:dyDescent="0.3">
      <c r="B642" s="3"/>
      <c r="C642" t="s">
        <v>207</v>
      </c>
      <c r="D642">
        <v>95</v>
      </c>
      <c r="E642">
        <v>95</v>
      </c>
      <c r="F642">
        <v>12.5</v>
      </c>
      <c r="G642">
        <v>1</v>
      </c>
      <c r="H642">
        <v>1</v>
      </c>
      <c r="I642" s="2">
        <v>48.16</v>
      </c>
      <c r="J642" t="s">
        <v>208</v>
      </c>
      <c r="K642" t="s">
        <v>209</v>
      </c>
      <c r="L642" t="s">
        <v>89</v>
      </c>
      <c r="M642" t="s">
        <v>23</v>
      </c>
    </row>
    <row r="643" spans="2:13" ht="14.25" customHeight="1" x14ac:dyDescent="0.3">
      <c r="B643" s="3"/>
      <c r="C643" t="s">
        <v>207</v>
      </c>
      <c r="D643">
        <v>95</v>
      </c>
      <c r="E643">
        <v>95</v>
      </c>
      <c r="F643">
        <v>12.5</v>
      </c>
      <c r="G643">
        <v>1</v>
      </c>
      <c r="H643">
        <v>1</v>
      </c>
      <c r="I643" s="2">
        <v>85.98</v>
      </c>
      <c r="J643" t="s">
        <v>208</v>
      </c>
      <c r="K643" t="s">
        <v>210</v>
      </c>
      <c r="L643" t="s">
        <v>22</v>
      </c>
      <c r="M643" t="s">
        <v>33</v>
      </c>
    </row>
    <row r="644" spans="2:13" ht="14.25" customHeight="1" x14ac:dyDescent="0.3">
      <c r="B644" s="3"/>
      <c r="C644" t="s">
        <v>124</v>
      </c>
      <c r="D644">
        <v>97.3</v>
      </c>
      <c r="E644">
        <v>9</v>
      </c>
      <c r="F644">
        <v>2</v>
      </c>
      <c r="G644">
        <v>4</v>
      </c>
      <c r="H644">
        <v>1</v>
      </c>
      <c r="I644" s="2">
        <v>11.04</v>
      </c>
      <c r="J644" t="s">
        <v>338</v>
      </c>
      <c r="K644" t="s">
        <v>473</v>
      </c>
      <c r="L644" t="s">
        <v>32</v>
      </c>
      <c r="M644" t="s">
        <v>23</v>
      </c>
    </row>
    <row r="645" spans="2:13" ht="14.25" customHeight="1" x14ac:dyDescent="0.3">
      <c r="B645" s="3"/>
      <c r="C645" t="s">
        <v>124</v>
      </c>
      <c r="D645">
        <v>97.3</v>
      </c>
      <c r="E645">
        <v>9</v>
      </c>
      <c r="F645">
        <v>2</v>
      </c>
      <c r="G645">
        <v>4</v>
      </c>
      <c r="H645">
        <v>1</v>
      </c>
      <c r="I645" s="2">
        <v>3.3</v>
      </c>
      <c r="J645" t="s">
        <v>474</v>
      </c>
      <c r="K645" t="s">
        <v>475</v>
      </c>
      <c r="L645" t="s">
        <v>127</v>
      </c>
      <c r="M645" t="s">
        <v>33</v>
      </c>
    </row>
    <row r="646" spans="2:13" ht="14.25" customHeight="1" x14ac:dyDescent="0.3">
      <c r="B646" s="3"/>
      <c r="C646" t="s">
        <v>124</v>
      </c>
      <c r="D646">
        <v>97.3</v>
      </c>
      <c r="E646">
        <v>75.2</v>
      </c>
      <c r="F646">
        <v>2</v>
      </c>
      <c r="G646">
        <v>2</v>
      </c>
      <c r="H646">
        <v>1</v>
      </c>
      <c r="I646" s="2">
        <v>44.16</v>
      </c>
      <c r="J646" t="s">
        <v>338</v>
      </c>
      <c r="K646" t="s">
        <v>473</v>
      </c>
      <c r="L646" t="s">
        <v>32</v>
      </c>
      <c r="M646" t="s">
        <v>23</v>
      </c>
    </row>
    <row r="647" spans="2:13" ht="14.25" customHeight="1" x14ac:dyDescent="0.3">
      <c r="B647" s="3"/>
      <c r="C647" t="s">
        <v>124</v>
      </c>
      <c r="D647">
        <v>97.3</v>
      </c>
      <c r="E647">
        <v>75.2</v>
      </c>
      <c r="F647">
        <v>2</v>
      </c>
      <c r="G647">
        <v>2</v>
      </c>
      <c r="H647">
        <v>1</v>
      </c>
      <c r="I647" s="2">
        <v>24.5</v>
      </c>
      <c r="J647" t="s">
        <v>474</v>
      </c>
      <c r="K647" t="s">
        <v>475</v>
      </c>
      <c r="L647" t="s">
        <v>127</v>
      </c>
      <c r="M647" t="s">
        <v>23</v>
      </c>
    </row>
    <row r="648" spans="2:13" ht="14.25" customHeight="1" x14ac:dyDescent="0.3">
      <c r="B648" s="3"/>
      <c r="C648" t="s">
        <v>191</v>
      </c>
      <c r="D648">
        <v>98.5</v>
      </c>
      <c r="E648">
        <v>54.7</v>
      </c>
      <c r="F648">
        <v>1</v>
      </c>
      <c r="G648">
        <v>4</v>
      </c>
      <c r="H648">
        <v>1</v>
      </c>
      <c r="I648" s="2">
        <v>6.66</v>
      </c>
      <c r="J648" t="s">
        <v>192</v>
      </c>
      <c r="K648" t="s">
        <v>536</v>
      </c>
      <c r="L648" t="s">
        <v>89</v>
      </c>
      <c r="M648" t="s">
        <v>23</v>
      </c>
    </row>
    <row r="649" spans="2:13" ht="14.25" customHeight="1" x14ac:dyDescent="0.3">
      <c r="B649" s="3"/>
      <c r="C649" t="s">
        <v>191</v>
      </c>
      <c r="D649">
        <v>98.5</v>
      </c>
      <c r="E649">
        <v>3.6</v>
      </c>
      <c r="F649">
        <v>1</v>
      </c>
      <c r="G649">
        <v>4</v>
      </c>
      <c r="H649">
        <v>1</v>
      </c>
      <c r="I649" s="2">
        <v>0.5</v>
      </c>
      <c r="J649" t="s">
        <v>192</v>
      </c>
      <c r="K649" t="s">
        <v>536</v>
      </c>
      <c r="L649" t="s">
        <v>89</v>
      </c>
      <c r="M649" t="s">
        <v>33</v>
      </c>
    </row>
    <row r="650" spans="2:13" ht="14.25" customHeight="1" x14ac:dyDescent="0.3">
      <c r="B650" s="3"/>
      <c r="C650" t="s">
        <v>537</v>
      </c>
      <c r="D650">
        <v>100</v>
      </c>
      <c r="E650">
        <v>10</v>
      </c>
      <c r="F650">
        <v>5</v>
      </c>
      <c r="G650">
        <v>40</v>
      </c>
      <c r="H650">
        <v>1</v>
      </c>
      <c r="I650" s="2">
        <v>15</v>
      </c>
      <c r="J650" t="s">
        <v>538</v>
      </c>
      <c r="K650" t="s">
        <v>539</v>
      </c>
      <c r="L650" t="s">
        <v>32</v>
      </c>
      <c r="M650" t="s">
        <v>51</v>
      </c>
    </row>
    <row r="651" spans="2:13" ht="14.25" customHeight="1" x14ac:dyDescent="0.3">
      <c r="B651" s="3"/>
      <c r="C651" t="s">
        <v>120</v>
      </c>
      <c r="D651">
        <v>100</v>
      </c>
      <c r="E651">
        <v>12.3</v>
      </c>
      <c r="F651">
        <v>5</v>
      </c>
      <c r="G651">
        <v>3</v>
      </c>
      <c r="H651">
        <v>1</v>
      </c>
      <c r="I651" s="2">
        <v>1.06</v>
      </c>
      <c r="J651" t="s">
        <v>331</v>
      </c>
      <c r="K651" t="s">
        <v>332</v>
      </c>
      <c r="L651" t="s">
        <v>32</v>
      </c>
      <c r="M651" t="s">
        <v>33</v>
      </c>
    </row>
    <row r="652" spans="2:13" ht="14.25" customHeight="1" x14ac:dyDescent="0.3">
      <c r="B652" s="3"/>
      <c r="C652" t="s">
        <v>120</v>
      </c>
      <c r="D652">
        <v>100</v>
      </c>
      <c r="E652">
        <v>12.3</v>
      </c>
      <c r="F652">
        <v>5</v>
      </c>
      <c r="G652">
        <v>3</v>
      </c>
      <c r="H652">
        <v>1</v>
      </c>
      <c r="I652" s="2">
        <v>2.34</v>
      </c>
      <c r="J652" t="s">
        <v>331</v>
      </c>
      <c r="K652" t="s">
        <v>333</v>
      </c>
      <c r="L652" t="s">
        <v>22</v>
      </c>
      <c r="M652" t="s">
        <v>33</v>
      </c>
    </row>
    <row r="653" spans="2:13" ht="14.25" customHeight="1" x14ac:dyDescent="0.3">
      <c r="B653" s="3"/>
      <c r="C653" t="s">
        <v>120</v>
      </c>
      <c r="D653">
        <v>100</v>
      </c>
      <c r="E653">
        <v>12.3</v>
      </c>
      <c r="F653">
        <v>5</v>
      </c>
      <c r="G653">
        <v>3</v>
      </c>
      <c r="H653">
        <v>1</v>
      </c>
      <c r="I653" s="2">
        <v>5.25</v>
      </c>
      <c r="J653" t="s">
        <v>331</v>
      </c>
      <c r="K653" t="s">
        <v>273</v>
      </c>
      <c r="L653" t="s">
        <v>89</v>
      </c>
      <c r="M653" t="s">
        <v>51</v>
      </c>
    </row>
    <row r="654" spans="2:13" ht="14.25" customHeight="1" x14ac:dyDescent="0.3">
      <c r="B654" s="3"/>
      <c r="C654" t="s">
        <v>120</v>
      </c>
      <c r="D654">
        <v>100</v>
      </c>
      <c r="E654">
        <v>28.8</v>
      </c>
      <c r="F654">
        <v>5</v>
      </c>
      <c r="G654">
        <v>2</v>
      </c>
      <c r="H654">
        <v>1</v>
      </c>
      <c r="I654" s="2">
        <v>2.48</v>
      </c>
      <c r="J654" t="s">
        <v>331</v>
      </c>
      <c r="K654" t="s">
        <v>332</v>
      </c>
      <c r="L654" t="s">
        <v>32</v>
      </c>
      <c r="M654" t="s">
        <v>33</v>
      </c>
    </row>
    <row r="655" spans="2:13" ht="14.25" customHeight="1" x14ac:dyDescent="0.3">
      <c r="B655" s="3"/>
      <c r="C655" t="s">
        <v>120</v>
      </c>
      <c r="D655">
        <v>100</v>
      </c>
      <c r="E655">
        <v>28.8</v>
      </c>
      <c r="F655">
        <v>5</v>
      </c>
      <c r="G655">
        <v>2</v>
      </c>
      <c r="H655">
        <v>1</v>
      </c>
      <c r="I655" s="2">
        <v>6.27</v>
      </c>
      <c r="J655" t="s">
        <v>331</v>
      </c>
      <c r="K655" t="s">
        <v>333</v>
      </c>
      <c r="L655" t="s">
        <v>22</v>
      </c>
      <c r="M655" t="s">
        <v>33</v>
      </c>
    </row>
    <row r="656" spans="2:13" ht="14.25" customHeight="1" x14ac:dyDescent="0.3">
      <c r="B656" s="3"/>
      <c r="C656" t="s">
        <v>120</v>
      </c>
      <c r="D656">
        <v>100</v>
      </c>
      <c r="E656">
        <v>28.8</v>
      </c>
      <c r="F656">
        <v>5</v>
      </c>
      <c r="G656">
        <v>2</v>
      </c>
      <c r="H656">
        <v>1</v>
      </c>
      <c r="I656" s="2">
        <v>13.86</v>
      </c>
      <c r="J656" t="s">
        <v>331</v>
      </c>
      <c r="K656" t="s">
        <v>273</v>
      </c>
      <c r="L656" t="s">
        <v>89</v>
      </c>
      <c r="M656" t="s">
        <v>51</v>
      </c>
    </row>
    <row r="657" spans="2:13" ht="14.25" customHeight="1" x14ac:dyDescent="0.3">
      <c r="B657" s="3"/>
      <c r="C657" t="s">
        <v>120</v>
      </c>
      <c r="D657">
        <v>100</v>
      </c>
      <c r="E657">
        <v>33.799999999999997</v>
      </c>
      <c r="F657">
        <v>5</v>
      </c>
      <c r="G657">
        <v>3</v>
      </c>
      <c r="H657">
        <v>1</v>
      </c>
      <c r="I657" s="2">
        <v>2.91</v>
      </c>
      <c r="J657" t="s">
        <v>331</v>
      </c>
      <c r="K657" t="s">
        <v>332</v>
      </c>
      <c r="L657" t="s">
        <v>32</v>
      </c>
      <c r="M657" t="s">
        <v>33</v>
      </c>
    </row>
    <row r="658" spans="2:13" ht="14.25" customHeight="1" x14ac:dyDescent="0.3">
      <c r="B658" s="3"/>
      <c r="C658" t="s">
        <v>120</v>
      </c>
      <c r="D658">
        <v>100</v>
      </c>
      <c r="E658">
        <v>33.799999999999997</v>
      </c>
      <c r="F658">
        <v>5</v>
      </c>
      <c r="G658">
        <v>3</v>
      </c>
      <c r="H658">
        <v>1</v>
      </c>
      <c r="I658" s="2">
        <v>7.6</v>
      </c>
      <c r="J658" t="s">
        <v>331</v>
      </c>
      <c r="K658" t="s">
        <v>333</v>
      </c>
      <c r="L658" t="s">
        <v>22</v>
      </c>
      <c r="M658" t="s">
        <v>33</v>
      </c>
    </row>
    <row r="659" spans="2:13" ht="14.25" customHeight="1" x14ac:dyDescent="0.3">
      <c r="B659" s="3"/>
      <c r="C659" t="s">
        <v>120</v>
      </c>
      <c r="D659">
        <v>100</v>
      </c>
      <c r="E659">
        <v>33.799999999999997</v>
      </c>
      <c r="F659">
        <v>5</v>
      </c>
      <c r="G659">
        <v>3</v>
      </c>
      <c r="H659">
        <v>1</v>
      </c>
      <c r="I659" s="2">
        <v>16.8</v>
      </c>
      <c r="J659" t="s">
        <v>331</v>
      </c>
      <c r="K659" t="s">
        <v>273</v>
      </c>
      <c r="L659" t="s">
        <v>22</v>
      </c>
      <c r="M659" t="s">
        <v>51</v>
      </c>
    </row>
    <row r="660" spans="2:13" ht="14.25" customHeight="1" x14ac:dyDescent="0.3">
      <c r="B660" s="3"/>
      <c r="C660" t="s">
        <v>120</v>
      </c>
      <c r="D660">
        <v>100</v>
      </c>
      <c r="E660">
        <v>48</v>
      </c>
      <c r="F660">
        <v>3</v>
      </c>
      <c r="G660">
        <v>4</v>
      </c>
      <c r="H660">
        <v>1</v>
      </c>
      <c r="I660" s="2">
        <v>2.48</v>
      </c>
      <c r="J660" t="s">
        <v>331</v>
      </c>
      <c r="K660" t="s">
        <v>332</v>
      </c>
      <c r="L660" t="s">
        <v>32</v>
      </c>
      <c r="M660" t="s">
        <v>33</v>
      </c>
    </row>
    <row r="661" spans="2:13" ht="14.25" customHeight="1" x14ac:dyDescent="0.3">
      <c r="B661" s="3"/>
      <c r="C661" t="s">
        <v>120</v>
      </c>
      <c r="D661">
        <v>100</v>
      </c>
      <c r="E661">
        <v>48</v>
      </c>
      <c r="F661">
        <v>3</v>
      </c>
      <c r="G661">
        <v>4</v>
      </c>
      <c r="H661">
        <v>1</v>
      </c>
      <c r="I661" s="2">
        <v>7.92</v>
      </c>
      <c r="J661" t="s">
        <v>331</v>
      </c>
      <c r="K661" t="s">
        <v>540</v>
      </c>
      <c r="L661" t="s">
        <v>22</v>
      </c>
      <c r="M661" t="s">
        <v>28</v>
      </c>
    </row>
    <row r="662" spans="2:13" ht="14.25" customHeight="1" x14ac:dyDescent="0.3">
      <c r="B662" s="3"/>
      <c r="C662" t="s">
        <v>120</v>
      </c>
      <c r="D662">
        <v>100</v>
      </c>
      <c r="E662">
        <v>48</v>
      </c>
      <c r="F662">
        <v>3</v>
      </c>
      <c r="G662">
        <v>4</v>
      </c>
      <c r="H662">
        <v>1</v>
      </c>
      <c r="I662" s="2">
        <v>11</v>
      </c>
      <c r="J662" t="s">
        <v>387</v>
      </c>
      <c r="K662" t="s">
        <v>541</v>
      </c>
      <c r="L662" t="s">
        <v>89</v>
      </c>
      <c r="M662" t="s">
        <v>33</v>
      </c>
    </row>
    <row r="663" spans="2:13" ht="14.25" customHeight="1" x14ac:dyDescent="0.3">
      <c r="B663" s="3"/>
      <c r="C663" t="s">
        <v>120</v>
      </c>
      <c r="D663">
        <v>100</v>
      </c>
      <c r="E663">
        <v>48</v>
      </c>
      <c r="F663">
        <v>3</v>
      </c>
      <c r="G663">
        <v>4</v>
      </c>
      <c r="H663">
        <v>1</v>
      </c>
      <c r="I663" s="2">
        <v>12.6</v>
      </c>
      <c r="J663" t="s">
        <v>331</v>
      </c>
      <c r="K663" t="s">
        <v>536</v>
      </c>
      <c r="L663" t="s">
        <v>89</v>
      </c>
      <c r="M663" t="s">
        <v>51</v>
      </c>
    </row>
    <row r="664" spans="2:13" ht="14.25" customHeight="1" x14ac:dyDescent="0.3">
      <c r="B664" s="3"/>
      <c r="C664" t="s">
        <v>120</v>
      </c>
      <c r="D664">
        <v>100</v>
      </c>
      <c r="E664">
        <v>48</v>
      </c>
      <c r="F664">
        <v>8</v>
      </c>
      <c r="G664">
        <v>10</v>
      </c>
      <c r="H664">
        <v>1</v>
      </c>
      <c r="I664" s="2">
        <v>6.62</v>
      </c>
      <c r="J664" t="s">
        <v>331</v>
      </c>
      <c r="K664" t="s">
        <v>332</v>
      </c>
      <c r="L664" t="s">
        <v>32</v>
      </c>
      <c r="M664" t="s">
        <v>28</v>
      </c>
    </row>
    <row r="665" spans="2:13" ht="14.25" customHeight="1" x14ac:dyDescent="0.3">
      <c r="B665" s="3"/>
      <c r="C665" t="s">
        <v>120</v>
      </c>
      <c r="D665">
        <v>100</v>
      </c>
      <c r="E665">
        <v>48</v>
      </c>
      <c r="F665">
        <v>8</v>
      </c>
      <c r="G665">
        <v>10</v>
      </c>
      <c r="H665">
        <v>1</v>
      </c>
      <c r="I665" s="2">
        <v>15</v>
      </c>
      <c r="J665" t="s">
        <v>400</v>
      </c>
      <c r="K665" t="s">
        <v>542</v>
      </c>
      <c r="L665" t="s">
        <v>22</v>
      </c>
      <c r="M665" t="s">
        <v>33</v>
      </c>
    </row>
    <row r="666" spans="2:13" ht="14.25" customHeight="1" x14ac:dyDescent="0.3">
      <c r="B666" s="3"/>
      <c r="C666" t="s">
        <v>120</v>
      </c>
      <c r="D666">
        <v>100</v>
      </c>
      <c r="E666">
        <v>48</v>
      </c>
      <c r="F666">
        <v>8</v>
      </c>
      <c r="G666">
        <v>10</v>
      </c>
      <c r="H666">
        <v>1</v>
      </c>
      <c r="I666" s="2">
        <v>18.239999999999998</v>
      </c>
      <c r="J666" t="s">
        <v>331</v>
      </c>
      <c r="K666" t="s">
        <v>540</v>
      </c>
      <c r="L666" t="s">
        <v>22</v>
      </c>
      <c r="M666" t="s">
        <v>28</v>
      </c>
    </row>
    <row r="667" spans="2:13" ht="14.25" customHeight="1" x14ac:dyDescent="0.3">
      <c r="B667" s="3"/>
      <c r="C667" t="s">
        <v>120</v>
      </c>
      <c r="D667">
        <v>100</v>
      </c>
      <c r="E667">
        <v>48</v>
      </c>
      <c r="F667">
        <v>8</v>
      </c>
      <c r="G667">
        <v>10</v>
      </c>
      <c r="H667">
        <v>1</v>
      </c>
      <c r="I667" s="2">
        <v>23.5</v>
      </c>
      <c r="J667" t="s">
        <v>400</v>
      </c>
      <c r="K667" t="s">
        <v>543</v>
      </c>
      <c r="L667" t="s">
        <v>89</v>
      </c>
      <c r="M667" t="s">
        <v>33</v>
      </c>
    </row>
    <row r="668" spans="2:13" ht="14.25" customHeight="1" x14ac:dyDescent="0.3">
      <c r="B668" s="3"/>
      <c r="C668" t="s">
        <v>120</v>
      </c>
      <c r="D668">
        <v>100</v>
      </c>
      <c r="E668">
        <v>48</v>
      </c>
      <c r="F668">
        <v>8</v>
      </c>
      <c r="G668">
        <v>10</v>
      </c>
      <c r="H668">
        <v>1</v>
      </c>
      <c r="I668" s="2">
        <v>33.6</v>
      </c>
      <c r="J668" t="s">
        <v>331</v>
      </c>
      <c r="K668" t="s">
        <v>536</v>
      </c>
      <c r="L668" t="s">
        <v>89</v>
      </c>
      <c r="M668" t="s">
        <v>33</v>
      </c>
    </row>
    <row r="669" spans="2:13" ht="14.25" customHeight="1" x14ac:dyDescent="0.3">
      <c r="B669" s="3"/>
      <c r="C669" t="s">
        <v>544</v>
      </c>
      <c r="D669">
        <v>100</v>
      </c>
      <c r="E669">
        <v>50</v>
      </c>
      <c r="F669">
        <v>1</v>
      </c>
      <c r="G669">
        <v>20</v>
      </c>
      <c r="H669">
        <v>1</v>
      </c>
      <c r="I669" s="2">
        <v>10.8</v>
      </c>
      <c r="J669" t="s">
        <v>545</v>
      </c>
      <c r="K669" t="s">
        <v>546</v>
      </c>
      <c r="L669" t="s">
        <v>32</v>
      </c>
      <c r="M669" t="s">
        <v>33</v>
      </c>
    </row>
    <row r="670" spans="2:13" ht="14.25" customHeight="1" x14ac:dyDescent="0.3">
      <c r="B670" s="3"/>
      <c r="C670" t="s">
        <v>544</v>
      </c>
      <c r="D670">
        <v>100</v>
      </c>
      <c r="E670">
        <v>50</v>
      </c>
      <c r="F670">
        <v>1</v>
      </c>
      <c r="G670">
        <v>5</v>
      </c>
      <c r="H670">
        <v>1</v>
      </c>
      <c r="I670" s="2">
        <v>23</v>
      </c>
      <c r="J670" t="s">
        <v>545</v>
      </c>
      <c r="K670" t="s">
        <v>546</v>
      </c>
      <c r="L670" t="s">
        <v>32</v>
      </c>
      <c r="M670" t="s">
        <v>23</v>
      </c>
    </row>
    <row r="671" spans="2:13" ht="14.25" customHeight="1" x14ac:dyDescent="0.3">
      <c r="B671" s="3"/>
      <c r="C671" t="s">
        <v>544</v>
      </c>
      <c r="D671">
        <v>100</v>
      </c>
      <c r="E671">
        <v>50</v>
      </c>
      <c r="F671">
        <v>1</v>
      </c>
      <c r="G671">
        <v>20</v>
      </c>
      <c r="H671">
        <v>1</v>
      </c>
      <c r="I671" s="2">
        <v>8.68</v>
      </c>
      <c r="J671" t="s">
        <v>511</v>
      </c>
      <c r="K671" t="s">
        <v>547</v>
      </c>
      <c r="L671" t="s">
        <v>89</v>
      </c>
      <c r="M671" t="s">
        <v>23</v>
      </c>
    </row>
    <row r="672" spans="2:13" ht="14.25" customHeight="1" x14ac:dyDescent="0.3">
      <c r="B672" s="3"/>
      <c r="C672" t="s">
        <v>544</v>
      </c>
      <c r="D672">
        <v>100</v>
      </c>
      <c r="E672">
        <v>50</v>
      </c>
      <c r="F672">
        <v>1</v>
      </c>
      <c r="G672">
        <v>20</v>
      </c>
      <c r="H672">
        <v>1</v>
      </c>
      <c r="I672" s="2">
        <v>8.1</v>
      </c>
      <c r="J672" t="s">
        <v>511</v>
      </c>
      <c r="K672" t="s">
        <v>536</v>
      </c>
      <c r="L672" t="s">
        <v>89</v>
      </c>
      <c r="M672" t="s">
        <v>33</v>
      </c>
    </row>
    <row r="673" spans="2:13" ht="14.25" customHeight="1" x14ac:dyDescent="0.3">
      <c r="B673" s="3"/>
      <c r="C673" t="s">
        <v>544</v>
      </c>
      <c r="D673">
        <v>100</v>
      </c>
      <c r="E673">
        <v>50</v>
      </c>
      <c r="F673">
        <v>2</v>
      </c>
      <c r="G673">
        <v>5</v>
      </c>
      <c r="H673">
        <v>1</v>
      </c>
      <c r="I673" s="2">
        <v>28</v>
      </c>
      <c r="J673" t="s">
        <v>545</v>
      </c>
      <c r="K673" t="s">
        <v>548</v>
      </c>
      <c r="L673" t="s">
        <v>32</v>
      </c>
      <c r="M673" t="s">
        <v>33</v>
      </c>
    </row>
    <row r="674" spans="2:13" ht="14.25" customHeight="1" x14ac:dyDescent="0.3">
      <c r="B674" s="3"/>
      <c r="C674" t="s">
        <v>544</v>
      </c>
      <c r="D674">
        <v>100</v>
      </c>
      <c r="E674">
        <v>50</v>
      </c>
      <c r="F674">
        <v>2</v>
      </c>
      <c r="G674">
        <v>20</v>
      </c>
      <c r="H674">
        <v>1</v>
      </c>
      <c r="I674" s="2">
        <v>13.6</v>
      </c>
      <c r="J674" t="s">
        <v>545</v>
      </c>
      <c r="K674" t="s">
        <v>548</v>
      </c>
      <c r="L674" t="s">
        <v>32</v>
      </c>
      <c r="M674" t="s">
        <v>23</v>
      </c>
    </row>
    <row r="675" spans="2:13" ht="14.25" customHeight="1" x14ac:dyDescent="0.3">
      <c r="B675" s="3"/>
      <c r="C675" t="s">
        <v>544</v>
      </c>
      <c r="D675">
        <v>100</v>
      </c>
      <c r="E675">
        <v>50</v>
      </c>
      <c r="F675">
        <v>2</v>
      </c>
      <c r="G675">
        <v>20</v>
      </c>
      <c r="H675">
        <v>1</v>
      </c>
      <c r="I675" s="2">
        <v>16.2</v>
      </c>
      <c r="J675" t="s">
        <v>511</v>
      </c>
      <c r="K675" t="s">
        <v>536</v>
      </c>
      <c r="L675" t="s">
        <v>89</v>
      </c>
      <c r="M675" t="s">
        <v>51</v>
      </c>
    </row>
    <row r="676" spans="2:13" ht="14.25" customHeight="1" x14ac:dyDescent="0.3">
      <c r="B676" s="3"/>
      <c r="C676" t="s">
        <v>120</v>
      </c>
      <c r="D676">
        <v>100</v>
      </c>
      <c r="E676">
        <v>50</v>
      </c>
      <c r="F676">
        <v>5</v>
      </c>
      <c r="G676">
        <v>6</v>
      </c>
      <c r="H676">
        <v>1</v>
      </c>
      <c r="I676" s="2">
        <v>4.3099999999999996</v>
      </c>
      <c r="J676" t="s">
        <v>331</v>
      </c>
      <c r="K676" t="s">
        <v>332</v>
      </c>
      <c r="L676" t="s">
        <v>32</v>
      </c>
      <c r="M676" t="s">
        <v>33</v>
      </c>
    </row>
    <row r="677" spans="2:13" ht="14.25" customHeight="1" x14ac:dyDescent="0.3">
      <c r="B677" s="3"/>
      <c r="C677" t="s">
        <v>120</v>
      </c>
      <c r="D677">
        <v>100</v>
      </c>
      <c r="E677">
        <v>50</v>
      </c>
      <c r="F677">
        <v>5</v>
      </c>
      <c r="G677">
        <v>6</v>
      </c>
      <c r="H677">
        <v>1</v>
      </c>
      <c r="I677" s="2">
        <v>9.5</v>
      </c>
      <c r="J677" t="s">
        <v>331</v>
      </c>
      <c r="K677" t="s">
        <v>540</v>
      </c>
      <c r="L677" t="s">
        <v>22</v>
      </c>
      <c r="M677" t="s">
        <v>33</v>
      </c>
    </row>
    <row r="678" spans="2:13" ht="14.25" customHeight="1" x14ac:dyDescent="0.3">
      <c r="B678" s="3"/>
      <c r="C678" t="s">
        <v>120</v>
      </c>
      <c r="D678">
        <v>100</v>
      </c>
      <c r="E678">
        <v>50</v>
      </c>
      <c r="F678">
        <v>5</v>
      </c>
      <c r="G678">
        <v>6</v>
      </c>
      <c r="H678">
        <v>1</v>
      </c>
      <c r="I678" s="2">
        <v>21</v>
      </c>
      <c r="J678" t="s">
        <v>331</v>
      </c>
      <c r="K678" t="s">
        <v>536</v>
      </c>
      <c r="L678" t="s">
        <v>89</v>
      </c>
      <c r="M678" t="s">
        <v>51</v>
      </c>
    </row>
    <row r="679" spans="2:13" ht="14.25" customHeight="1" x14ac:dyDescent="0.3">
      <c r="B679" s="3"/>
      <c r="C679" t="s">
        <v>120</v>
      </c>
      <c r="D679">
        <v>100</v>
      </c>
      <c r="E679">
        <v>50</v>
      </c>
      <c r="F679">
        <v>8</v>
      </c>
      <c r="G679">
        <v>1</v>
      </c>
      <c r="H679">
        <v>1</v>
      </c>
      <c r="I679" s="2">
        <v>6.89</v>
      </c>
      <c r="J679" t="s">
        <v>331</v>
      </c>
      <c r="K679" t="s">
        <v>332</v>
      </c>
      <c r="L679" t="s">
        <v>32</v>
      </c>
      <c r="M679" t="s">
        <v>28</v>
      </c>
    </row>
    <row r="680" spans="2:13" ht="14.25" customHeight="1" x14ac:dyDescent="0.3">
      <c r="B680" s="3"/>
      <c r="C680" t="s">
        <v>120</v>
      </c>
      <c r="D680">
        <v>100</v>
      </c>
      <c r="E680">
        <v>50</v>
      </c>
      <c r="F680">
        <v>8</v>
      </c>
      <c r="G680">
        <v>1</v>
      </c>
      <c r="H680">
        <v>1</v>
      </c>
      <c r="I680" s="2">
        <v>15</v>
      </c>
      <c r="J680" t="s">
        <v>400</v>
      </c>
      <c r="K680" t="s">
        <v>542</v>
      </c>
      <c r="L680" t="s">
        <v>22</v>
      </c>
      <c r="M680" t="s">
        <v>33</v>
      </c>
    </row>
    <row r="681" spans="2:13" ht="14.25" customHeight="1" x14ac:dyDescent="0.3">
      <c r="B681" s="3"/>
      <c r="C681" t="s">
        <v>120</v>
      </c>
      <c r="D681">
        <v>100</v>
      </c>
      <c r="E681">
        <v>50</v>
      </c>
      <c r="F681">
        <v>8</v>
      </c>
      <c r="G681">
        <v>1</v>
      </c>
      <c r="H681">
        <v>1</v>
      </c>
      <c r="I681" s="2">
        <v>18.239999999999998</v>
      </c>
      <c r="J681" t="s">
        <v>331</v>
      </c>
      <c r="K681" t="s">
        <v>540</v>
      </c>
      <c r="L681" t="s">
        <v>22</v>
      </c>
      <c r="M681" t="s">
        <v>28</v>
      </c>
    </row>
    <row r="682" spans="2:13" ht="14.25" customHeight="1" x14ac:dyDescent="0.3">
      <c r="B682" s="3"/>
      <c r="C682" t="s">
        <v>120</v>
      </c>
      <c r="D682">
        <v>100</v>
      </c>
      <c r="E682">
        <v>50</v>
      </c>
      <c r="F682">
        <v>8</v>
      </c>
      <c r="G682">
        <v>1</v>
      </c>
      <c r="H682">
        <v>1</v>
      </c>
      <c r="I682" s="2">
        <v>23.5</v>
      </c>
      <c r="J682" t="s">
        <v>400</v>
      </c>
      <c r="K682" t="s">
        <v>549</v>
      </c>
      <c r="L682" t="s">
        <v>89</v>
      </c>
      <c r="M682" t="s">
        <v>33</v>
      </c>
    </row>
    <row r="683" spans="2:13" ht="14.25" customHeight="1" x14ac:dyDescent="0.3">
      <c r="B683" s="3"/>
      <c r="C683" t="s">
        <v>120</v>
      </c>
      <c r="D683">
        <v>100</v>
      </c>
      <c r="E683">
        <v>50</v>
      </c>
      <c r="F683">
        <v>8</v>
      </c>
      <c r="G683">
        <v>1</v>
      </c>
      <c r="H683">
        <v>1</v>
      </c>
      <c r="I683" s="2">
        <v>33.6</v>
      </c>
      <c r="J683" t="s">
        <v>331</v>
      </c>
      <c r="K683" t="s">
        <v>536</v>
      </c>
      <c r="L683" t="s">
        <v>89</v>
      </c>
      <c r="M683" t="s">
        <v>23</v>
      </c>
    </row>
    <row r="684" spans="2:13" ht="14.25" customHeight="1" x14ac:dyDescent="0.3">
      <c r="B684" s="3"/>
      <c r="C684" t="s">
        <v>207</v>
      </c>
      <c r="D684">
        <v>100</v>
      </c>
      <c r="E684">
        <v>85</v>
      </c>
      <c r="F684">
        <v>2.5</v>
      </c>
      <c r="G684">
        <v>1</v>
      </c>
      <c r="H684">
        <v>1</v>
      </c>
      <c r="I684" s="2">
        <v>8.5</v>
      </c>
      <c r="J684" t="s">
        <v>208</v>
      </c>
      <c r="K684" t="s">
        <v>209</v>
      </c>
      <c r="L684" t="s">
        <v>22</v>
      </c>
      <c r="M684" t="s">
        <v>23</v>
      </c>
    </row>
    <row r="685" spans="2:13" ht="14.25" customHeight="1" x14ac:dyDescent="0.3">
      <c r="B685" s="3"/>
      <c r="C685" t="s">
        <v>207</v>
      </c>
      <c r="D685">
        <v>100</v>
      </c>
      <c r="E685">
        <v>85</v>
      </c>
      <c r="F685">
        <v>2.5</v>
      </c>
      <c r="G685">
        <v>1</v>
      </c>
      <c r="H685">
        <v>1</v>
      </c>
      <c r="I685" s="2">
        <v>15.619</v>
      </c>
      <c r="J685" t="s">
        <v>208</v>
      </c>
      <c r="K685" t="s">
        <v>210</v>
      </c>
      <c r="L685" t="s">
        <v>89</v>
      </c>
      <c r="M685" t="s">
        <v>23</v>
      </c>
    </row>
    <row r="686" spans="2:13" ht="14.25" customHeight="1" x14ac:dyDescent="0.3">
      <c r="B686" s="3"/>
      <c r="C686" t="s">
        <v>550</v>
      </c>
      <c r="D686">
        <v>100</v>
      </c>
      <c r="E686">
        <v>90</v>
      </c>
      <c r="F686">
        <v>10</v>
      </c>
      <c r="G686">
        <v>270</v>
      </c>
      <c r="H686">
        <v>1</v>
      </c>
      <c r="I686" s="2">
        <v>48.1</v>
      </c>
      <c r="J686" t="s">
        <v>183</v>
      </c>
      <c r="K686" t="s">
        <v>551</v>
      </c>
      <c r="L686" t="s">
        <v>22</v>
      </c>
      <c r="M686" t="s">
        <v>33</v>
      </c>
    </row>
    <row r="687" spans="2:13" ht="14.25" customHeight="1" x14ac:dyDescent="0.3">
      <c r="B687" s="3"/>
      <c r="C687" t="s">
        <v>550</v>
      </c>
      <c r="D687">
        <v>100</v>
      </c>
      <c r="E687">
        <v>90</v>
      </c>
      <c r="F687">
        <v>10</v>
      </c>
      <c r="G687">
        <v>270</v>
      </c>
      <c r="H687">
        <v>1</v>
      </c>
      <c r="I687" s="2">
        <v>67.319999999999993</v>
      </c>
      <c r="J687" t="s">
        <v>552</v>
      </c>
      <c r="K687" t="s">
        <v>553</v>
      </c>
      <c r="L687" t="s">
        <v>22</v>
      </c>
      <c r="M687" t="s">
        <v>28</v>
      </c>
    </row>
    <row r="688" spans="2:13" ht="14.25" customHeight="1" x14ac:dyDescent="0.3">
      <c r="B688" s="3"/>
      <c r="C688" t="s">
        <v>550</v>
      </c>
      <c r="D688">
        <v>100</v>
      </c>
      <c r="E688">
        <v>90</v>
      </c>
      <c r="F688">
        <v>10</v>
      </c>
      <c r="G688">
        <v>270</v>
      </c>
      <c r="H688">
        <v>1</v>
      </c>
      <c r="I688" s="2">
        <v>31.82</v>
      </c>
      <c r="J688" t="s">
        <v>554</v>
      </c>
      <c r="K688" t="s">
        <v>555</v>
      </c>
      <c r="L688" t="s">
        <v>22</v>
      </c>
      <c r="M688" t="s">
        <v>51</v>
      </c>
    </row>
    <row r="689" spans="2:13" ht="14.25" customHeight="1" x14ac:dyDescent="0.3">
      <c r="B689" s="3"/>
      <c r="C689" t="s">
        <v>556</v>
      </c>
      <c r="D689">
        <v>100</v>
      </c>
      <c r="E689">
        <v>100</v>
      </c>
      <c r="F689">
        <v>1</v>
      </c>
      <c r="G689">
        <v>2</v>
      </c>
      <c r="H689">
        <v>1</v>
      </c>
      <c r="I689" s="2">
        <v>1.36</v>
      </c>
      <c r="J689" t="s">
        <v>557</v>
      </c>
      <c r="K689" t="s">
        <v>558</v>
      </c>
      <c r="L689" t="s">
        <v>32</v>
      </c>
      <c r="M689" t="s">
        <v>51</v>
      </c>
    </row>
    <row r="690" spans="2:13" ht="14.25" customHeight="1" x14ac:dyDescent="0.3">
      <c r="B690" s="3"/>
      <c r="C690" t="s">
        <v>443</v>
      </c>
      <c r="D690">
        <v>100</v>
      </c>
      <c r="E690">
        <v>100</v>
      </c>
      <c r="F690">
        <v>1</v>
      </c>
      <c r="G690">
        <v>10</v>
      </c>
      <c r="H690">
        <v>1</v>
      </c>
      <c r="I690" s="2">
        <v>1.5</v>
      </c>
      <c r="J690" t="s">
        <v>559</v>
      </c>
      <c r="K690" t="s">
        <v>558</v>
      </c>
      <c r="L690" t="s">
        <v>32</v>
      </c>
      <c r="M690" t="s">
        <v>51</v>
      </c>
    </row>
    <row r="691" spans="2:13" ht="14.25" customHeight="1" x14ac:dyDescent="0.3">
      <c r="B691" s="3"/>
      <c r="C691" t="s">
        <v>556</v>
      </c>
      <c r="D691">
        <v>100</v>
      </c>
      <c r="E691">
        <v>100</v>
      </c>
      <c r="F691">
        <v>1</v>
      </c>
      <c r="G691">
        <v>10</v>
      </c>
      <c r="H691">
        <v>1</v>
      </c>
      <c r="I691" s="2">
        <v>0.97519999999999996</v>
      </c>
      <c r="J691" t="s">
        <v>560</v>
      </c>
      <c r="K691" t="s">
        <v>558</v>
      </c>
      <c r="L691" t="s">
        <v>32</v>
      </c>
      <c r="M691" t="s">
        <v>51</v>
      </c>
    </row>
    <row r="692" spans="2:13" ht="14.25" customHeight="1" x14ac:dyDescent="0.3">
      <c r="B692" s="3"/>
      <c r="C692" t="s">
        <v>556</v>
      </c>
      <c r="D692">
        <v>100</v>
      </c>
      <c r="E692">
        <v>100</v>
      </c>
      <c r="F692">
        <v>2</v>
      </c>
      <c r="G692">
        <v>2</v>
      </c>
      <c r="H692">
        <v>1</v>
      </c>
      <c r="I692" s="2">
        <v>2.72</v>
      </c>
      <c r="J692" t="s">
        <v>557</v>
      </c>
      <c r="K692" t="s">
        <v>558</v>
      </c>
      <c r="L692" t="s">
        <v>32</v>
      </c>
      <c r="M692" t="s">
        <v>51</v>
      </c>
    </row>
    <row r="693" spans="2:13" ht="14.25" customHeight="1" x14ac:dyDescent="0.3">
      <c r="B693" s="3"/>
      <c r="C693" t="s">
        <v>556</v>
      </c>
      <c r="D693">
        <v>100</v>
      </c>
      <c r="E693">
        <v>100</v>
      </c>
      <c r="F693">
        <v>2</v>
      </c>
      <c r="G693">
        <v>10</v>
      </c>
      <c r="H693">
        <v>1</v>
      </c>
      <c r="I693" s="2">
        <v>1.95</v>
      </c>
      <c r="J693" t="s">
        <v>560</v>
      </c>
      <c r="K693" t="s">
        <v>558</v>
      </c>
      <c r="L693" t="s">
        <v>32</v>
      </c>
      <c r="M693" t="s">
        <v>51</v>
      </c>
    </row>
    <row r="694" spans="2:13" ht="14.25" customHeight="1" x14ac:dyDescent="0.3">
      <c r="B694" s="3"/>
      <c r="C694" t="s">
        <v>556</v>
      </c>
      <c r="D694">
        <v>100</v>
      </c>
      <c r="E694">
        <v>100</v>
      </c>
      <c r="F694">
        <v>3</v>
      </c>
      <c r="G694">
        <v>2</v>
      </c>
      <c r="H694">
        <v>1</v>
      </c>
      <c r="I694" s="2">
        <v>4.0999999999999996</v>
      </c>
      <c r="J694" t="s">
        <v>557</v>
      </c>
      <c r="K694" t="s">
        <v>558</v>
      </c>
      <c r="L694" t="s">
        <v>32</v>
      </c>
      <c r="M694" t="s">
        <v>28</v>
      </c>
    </row>
    <row r="695" spans="2:13" ht="14.25" customHeight="1" x14ac:dyDescent="0.3">
      <c r="B695" s="3"/>
      <c r="C695" t="s">
        <v>556</v>
      </c>
      <c r="D695">
        <v>100</v>
      </c>
      <c r="E695">
        <v>100</v>
      </c>
      <c r="F695">
        <v>3</v>
      </c>
      <c r="G695">
        <v>10</v>
      </c>
      <c r="H695">
        <v>1</v>
      </c>
      <c r="I695" s="2">
        <v>2.92</v>
      </c>
      <c r="J695" t="s">
        <v>560</v>
      </c>
      <c r="K695" t="s">
        <v>558</v>
      </c>
      <c r="L695" t="s">
        <v>32</v>
      </c>
      <c r="M695" t="s">
        <v>51</v>
      </c>
    </row>
    <row r="696" spans="2:13" ht="14.25" customHeight="1" x14ac:dyDescent="0.3">
      <c r="B696" s="3"/>
      <c r="C696" t="s">
        <v>124</v>
      </c>
      <c r="D696">
        <v>100</v>
      </c>
      <c r="E696">
        <v>100</v>
      </c>
      <c r="F696">
        <v>3.5</v>
      </c>
      <c r="G696">
        <v>2</v>
      </c>
      <c r="H696">
        <v>1</v>
      </c>
      <c r="I696" s="2">
        <v>20.5</v>
      </c>
      <c r="J696" t="s">
        <v>211</v>
      </c>
      <c r="K696" t="s">
        <v>309</v>
      </c>
      <c r="L696" t="s">
        <v>27</v>
      </c>
      <c r="M696" t="s">
        <v>23</v>
      </c>
    </row>
    <row r="697" spans="2:13" ht="14.25" customHeight="1" x14ac:dyDescent="0.3">
      <c r="B697" s="3"/>
      <c r="C697" t="s">
        <v>191</v>
      </c>
      <c r="D697">
        <v>100.5</v>
      </c>
      <c r="E697">
        <v>46</v>
      </c>
      <c r="F697">
        <v>1</v>
      </c>
      <c r="G697">
        <v>2</v>
      </c>
      <c r="H697">
        <v>1</v>
      </c>
      <c r="I697" s="2">
        <v>6</v>
      </c>
      <c r="J697" t="s">
        <v>192</v>
      </c>
      <c r="K697" t="s">
        <v>536</v>
      </c>
      <c r="L697" t="s">
        <v>89</v>
      </c>
      <c r="M697" t="s">
        <v>23</v>
      </c>
    </row>
    <row r="698" spans="2:13" ht="14.25" customHeight="1" x14ac:dyDescent="0.3">
      <c r="B698" s="3"/>
      <c r="C698" t="s">
        <v>124</v>
      </c>
      <c r="D698">
        <v>102</v>
      </c>
      <c r="E698">
        <v>28.1</v>
      </c>
      <c r="F698">
        <v>1</v>
      </c>
      <c r="G698">
        <v>4</v>
      </c>
      <c r="H698">
        <v>1</v>
      </c>
      <c r="I698" s="2">
        <v>4.8</v>
      </c>
      <c r="J698" t="s">
        <v>561</v>
      </c>
      <c r="K698" t="s">
        <v>562</v>
      </c>
      <c r="L698" t="s">
        <v>27</v>
      </c>
      <c r="M698" t="s">
        <v>33</v>
      </c>
    </row>
    <row r="699" spans="2:13" ht="14.25" customHeight="1" x14ac:dyDescent="0.3">
      <c r="B699" s="3"/>
      <c r="C699" t="s">
        <v>124</v>
      </c>
      <c r="D699">
        <v>102</v>
      </c>
      <c r="E699">
        <v>28.1</v>
      </c>
      <c r="F699">
        <v>1</v>
      </c>
      <c r="G699">
        <v>4</v>
      </c>
      <c r="H699">
        <v>1</v>
      </c>
      <c r="I699" s="2">
        <v>17.5</v>
      </c>
      <c r="J699" t="s">
        <v>563</v>
      </c>
      <c r="K699" t="s">
        <v>562</v>
      </c>
      <c r="L699" t="s">
        <v>27</v>
      </c>
      <c r="M699" t="s">
        <v>23</v>
      </c>
    </row>
    <row r="700" spans="2:13" ht="14.25" customHeight="1" x14ac:dyDescent="0.3">
      <c r="B700" s="3"/>
      <c r="C700" t="s">
        <v>124</v>
      </c>
      <c r="D700">
        <v>102</v>
      </c>
      <c r="E700">
        <v>102</v>
      </c>
      <c r="F700">
        <v>5</v>
      </c>
      <c r="G700">
        <v>4</v>
      </c>
      <c r="H700">
        <v>1</v>
      </c>
      <c r="I700" s="2">
        <v>40.200000000000003</v>
      </c>
      <c r="J700" t="s">
        <v>561</v>
      </c>
      <c r="K700" t="s">
        <v>562</v>
      </c>
      <c r="L700" t="s">
        <v>27</v>
      </c>
      <c r="M700" t="s">
        <v>33</v>
      </c>
    </row>
    <row r="701" spans="2:13" ht="14.25" customHeight="1" x14ac:dyDescent="0.3">
      <c r="B701" s="3"/>
      <c r="C701" t="s">
        <v>124</v>
      </c>
      <c r="D701">
        <v>102</v>
      </c>
      <c r="E701">
        <v>102</v>
      </c>
      <c r="F701">
        <v>5</v>
      </c>
      <c r="G701">
        <v>4</v>
      </c>
      <c r="H701">
        <v>1</v>
      </c>
      <c r="I701" s="2">
        <v>77</v>
      </c>
      <c r="J701" t="s">
        <v>563</v>
      </c>
      <c r="K701" t="s">
        <v>562</v>
      </c>
      <c r="L701" t="s">
        <v>27</v>
      </c>
      <c r="M701" t="s">
        <v>23</v>
      </c>
    </row>
    <row r="702" spans="2:13" ht="14.25" customHeight="1" x14ac:dyDescent="0.3">
      <c r="B702" s="3"/>
      <c r="C702" t="s">
        <v>124</v>
      </c>
      <c r="D702">
        <v>102</v>
      </c>
      <c r="E702">
        <v>10</v>
      </c>
      <c r="F702">
        <v>5</v>
      </c>
      <c r="G702">
        <v>5</v>
      </c>
      <c r="H702">
        <v>1</v>
      </c>
      <c r="I702" s="2">
        <v>5.0199999999999996</v>
      </c>
      <c r="J702" t="s">
        <v>561</v>
      </c>
      <c r="K702" t="s">
        <v>562</v>
      </c>
      <c r="L702" t="s">
        <v>27</v>
      </c>
      <c r="M702" t="s">
        <v>33</v>
      </c>
    </row>
    <row r="703" spans="2:13" ht="14.25" customHeight="1" x14ac:dyDescent="0.3">
      <c r="B703" s="3"/>
      <c r="C703" t="s">
        <v>124</v>
      </c>
      <c r="D703">
        <v>102</v>
      </c>
      <c r="E703">
        <v>10</v>
      </c>
      <c r="F703">
        <v>5</v>
      </c>
      <c r="G703">
        <v>5</v>
      </c>
      <c r="H703">
        <v>1</v>
      </c>
      <c r="I703" s="2">
        <v>21</v>
      </c>
      <c r="J703" t="s">
        <v>563</v>
      </c>
      <c r="K703" t="s">
        <v>562</v>
      </c>
      <c r="L703" t="s">
        <v>27</v>
      </c>
      <c r="M703" t="s">
        <v>28</v>
      </c>
    </row>
    <row r="704" spans="2:13" ht="14.25" customHeight="1" x14ac:dyDescent="0.3">
      <c r="B704" s="3"/>
      <c r="C704" t="s">
        <v>124</v>
      </c>
      <c r="D704">
        <v>103</v>
      </c>
      <c r="E704">
        <v>45.3</v>
      </c>
      <c r="F704">
        <v>4</v>
      </c>
      <c r="G704">
        <v>2</v>
      </c>
      <c r="H704">
        <v>1</v>
      </c>
      <c r="I704" s="2">
        <v>68</v>
      </c>
      <c r="J704" t="s">
        <v>449</v>
      </c>
      <c r="K704" t="s">
        <v>564</v>
      </c>
      <c r="L704" t="s">
        <v>27</v>
      </c>
      <c r="M704" t="s">
        <v>28</v>
      </c>
    </row>
    <row r="705" spans="2:13" ht="14.25" customHeight="1" x14ac:dyDescent="0.3">
      <c r="B705" s="3"/>
      <c r="C705" t="s">
        <v>124</v>
      </c>
      <c r="D705">
        <v>103</v>
      </c>
      <c r="E705">
        <v>68</v>
      </c>
      <c r="F705">
        <v>4</v>
      </c>
      <c r="G705">
        <v>2</v>
      </c>
      <c r="H705">
        <v>1</v>
      </c>
      <c r="I705" s="2">
        <v>68</v>
      </c>
      <c r="J705" t="s">
        <v>449</v>
      </c>
      <c r="K705" t="s">
        <v>564</v>
      </c>
      <c r="L705" t="s">
        <v>27</v>
      </c>
      <c r="M705" t="s">
        <v>23</v>
      </c>
    </row>
    <row r="706" spans="2:13" ht="14.25" customHeight="1" x14ac:dyDescent="0.3">
      <c r="B706" s="3"/>
      <c r="C706" t="s">
        <v>202</v>
      </c>
      <c r="D706">
        <v>107</v>
      </c>
      <c r="E706">
        <v>10</v>
      </c>
      <c r="F706">
        <v>4</v>
      </c>
      <c r="G706">
        <v>1</v>
      </c>
      <c r="H706">
        <v>1</v>
      </c>
      <c r="I706" s="2">
        <v>4.9000000000000004</v>
      </c>
      <c r="J706" t="s">
        <v>252</v>
      </c>
      <c r="K706" t="s">
        <v>536</v>
      </c>
      <c r="L706" t="s">
        <v>89</v>
      </c>
      <c r="M706" t="s">
        <v>23</v>
      </c>
    </row>
    <row r="707" spans="2:13" ht="14.25" customHeight="1" x14ac:dyDescent="0.3">
      <c r="B707" s="3"/>
      <c r="C707" t="s">
        <v>202</v>
      </c>
      <c r="D707">
        <v>107</v>
      </c>
      <c r="E707">
        <v>16</v>
      </c>
      <c r="F707">
        <v>4</v>
      </c>
      <c r="G707">
        <v>1</v>
      </c>
      <c r="H707">
        <v>1</v>
      </c>
      <c r="I707" s="2">
        <v>9.6</v>
      </c>
      <c r="J707" t="s">
        <v>252</v>
      </c>
      <c r="K707" t="s">
        <v>536</v>
      </c>
      <c r="L707" t="s">
        <v>89</v>
      </c>
      <c r="M707" t="s">
        <v>23</v>
      </c>
    </row>
    <row r="708" spans="2:13" ht="14.25" customHeight="1" x14ac:dyDescent="0.3">
      <c r="B708" s="3"/>
      <c r="C708" t="s">
        <v>202</v>
      </c>
      <c r="D708">
        <v>107</v>
      </c>
      <c r="E708">
        <v>28.2</v>
      </c>
      <c r="F708">
        <v>4</v>
      </c>
      <c r="G708">
        <v>1</v>
      </c>
      <c r="H708">
        <v>1</v>
      </c>
      <c r="I708" s="2">
        <v>15.99</v>
      </c>
      <c r="J708" t="s">
        <v>252</v>
      </c>
      <c r="K708" t="s">
        <v>536</v>
      </c>
      <c r="L708" t="s">
        <v>89</v>
      </c>
      <c r="M708" t="s">
        <v>28</v>
      </c>
    </row>
    <row r="709" spans="2:13" ht="14.25" customHeight="1" x14ac:dyDescent="0.3">
      <c r="B709" s="3"/>
      <c r="C709" t="s">
        <v>124</v>
      </c>
      <c r="D709">
        <v>108</v>
      </c>
      <c r="E709">
        <v>75</v>
      </c>
      <c r="F709">
        <v>5</v>
      </c>
      <c r="G709">
        <v>2</v>
      </c>
      <c r="H709">
        <v>1</v>
      </c>
      <c r="I709" s="2">
        <v>40</v>
      </c>
      <c r="J709" t="s">
        <v>211</v>
      </c>
      <c r="K709" t="s">
        <v>309</v>
      </c>
      <c r="L709" t="s">
        <v>27</v>
      </c>
      <c r="M709" t="s">
        <v>28</v>
      </c>
    </row>
    <row r="710" spans="2:13" ht="14.25" customHeight="1" x14ac:dyDescent="0.3">
      <c r="B710" s="3"/>
      <c r="C710" t="s">
        <v>124</v>
      </c>
      <c r="D710">
        <v>108</v>
      </c>
      <c r="E710">
        <v>108</v>
      </c>
      <c r="F710">
        <v>5</v>
      </c>
      <c r="G710">
        <v>2</v>
      </c>
      <c r="H710">
        <v>1</v>
      </c>
      <c r="I710" s="2">
        <v>40</v>
      </c>
      <c r="J710" t="s">
        <v>211</v>
      </c>
      <c r="K710" t="s">
        <v>309</v>
      </c>
      <c r="L710" t="s">
        <v>27</v>
      </c>
      <c r="M710" t="s">
        <v>33</v>
      </c>
    </row>
    <row r="711" spans="2:13" ht="14.25" customHeight="1" x14ac:dyDescent="0.3">
      <c r="B711" s="3"/>
      <c r="C711" t="s">
        <v>529</v>
      </c>
      <c r="D711">
        <v>109</v>
      </c>
      <c r="E711">
        <v>70</v>
      </c>
      <c r="F711">
        <v>86</v>
      </c>
      <c r="G711">
        <v>1</v>
      </c>
      <c r="H711">
        <v>1</v>
      </c>
      <c r="I711" s="2">
        <v>950</v>
      </c>
      <c r="J711" t="s">
        <v>565</v>
      </c>
      <c r="K711" t="s">
        <v>566</v>
      </c>
      <c r="L711" t="s">
        <v>22</v>
      </c>
      <c r="M711" t="s">
        <v>33</v>
      </c>
    </row>
    <row r="712" spans="2:13" ht="14.25" customHeight="1" x14ac:dyDescent="0.3">
      <c r="B712" s="3"/>
      <c r="C712" t="s">
        <v>413</v>
      </c>
      <c r="D712">
        <v>111.6</v>
      </c>
      <c r="E712">
        <v>35.4</v>
      </c>
      <c r="F712">
        <v>4</v>
      </c>
      <c r="G712">
        <v>85</v>
      </c>
      <c r="H712">
        <v>1</v>
      </c>
      <c r="I712" s="2">
        <f>19+90/85</f>
        <v>20.058823529411764</v>
      </c>
      <c r="J712" t="s">
        <v>361</v>
      </c>
      <c r="K712" t="s">
        <v>567</v>
      </c>
      <c r="L712" t="s">
        <v>32</v>
      </c>
      <c r="M712" t="s">
        <v>568</v>
      </c>
    </row>
    <row r="713" spans="2:13" ht="14.25" customHeight="1" x14ac:dyDescent="0.3">
      <c r="B713" s="3"/>
      <c r="C713" t="s">
        <v>569</v>
      </c>
      <c r="D713">
        <v>111.8</v>
      </c>
      <c r="E713">
        <v>42.6</v>
      </c>
      <c r="F713">
        <v>13.8</v>
      </c>
      <c r="G713">
        <v>5</v>
      </c>
      <c r="H713">
        <v>1</v>
      </c>
      <c r="I713" s="2">
        <v>71.2</v>
      </c>
      <c r="J713" t="s">
        <v>428</v>
      </c>
      <c r="K713" t="s">
        <v>570</v>
      </c>
      <c r="L713" t="s">
        <v>27</v>
      </c>
      <c r="M713" t="s">
        <v>23</v>
      </c>
    </row>
    <row r="714" spans="2:13" ht="14.25" customHeight="1" x14ac:dyDescent="0.3">
      <c r="B714" s="3"/>
      <c r="C714" t="s">
        <v>569</v>
      </c>
      <c r="D714">
        <v>111.8</v>
      </c>
      <c r="E714">
        <v>42.6</v>
      </c>
      <c r="F714">
        <v>6.4</v>
      </c>
      <c r="G714">
        <v>5</v>
      </c>
      <c r="H714">
        <v>1</v>
      </c>
      <c r="I714" s="2">
        <v>71.2</v>
      </c>
      <c r="J714" t="s">
        <v>428</v>
      </c>
      <c r="K714" t="s">
        <v>570</v>
      </c>
      <c r="L714" t="s">
        <v>27</v>
      </c>
      <c r="M714" t="s">
        <v>23</v>
      </c>
    </row>
    <row r="715" spans="2:13" ht="14.25" customHeight="1" x14ac:dyDescent="0.3">
      <c r="B715" s="3"/>
      <c r="C715" t="s">
        <v>120</v>
      </c>
      <c r="D715">
        <v>112</v>
      </c>
      <c r="E715">
        <v>11</v>
      </c>
      <c r="F715">
        <v>1</v>
      </c>
      <c r="G715">
        <v>3</v>
      </c>
      <c r="H715">
        <v>1</v>
      </c>
      <c r="I715" s="2">
        <v>1.2</v>
      </c>
      <c r="J715" t="s">
        <v>174</v>
      </c>
      <c r="K715" t="s">
        <v>173</v>
      </c>
      <c r="L715" t="s">
        <v>89</v>
      </c>
      <c r="M715" t="s">
        <v>23</v>
      </c>
    </row>
    <row r="716" spans="2:13" ht="14.25" customHeight="1" x14ac:dyDescent="0.3">
      <c r="B716" s="3"/>
      <c r="C716" t="s">
        <v>413</v>
      </c>
      <c r="D716">
        <v>116.5</v>
      </c>
      <c r="E716">
        <v>35.4</v>
      </c>
      <c r="F716">
        <v>10</v>
      </c>
      <c r="G716">
        <v>1</v>
      </c>
      <c r="H716">
        <v>1</v>
      </c>
      <c r="I716" s="2">
        <v>72</v>
      </c>
      <c r="J716" t="s">
        <v>505</v>
      </c>
      <c r="K716" t="s">
        <v>506</v>
      </c>
      <c r="L716" t="s">
        <v>89</v>
      </c>
      <c r="M716" t="s">
        <v>33</v>
      </c>
    </row>
    <row r="717" spans="2:13" ht="14.25" customHeight="1" x14ac:dyDescent="0.3">
      <c r="B717" s="3"/>
      <c r="C717" t="s">
        <v>413</v>
      </c>
      <c r="D717">
        <v>116.5</v>
      </c>
      <c r="E717">
        <v>35.4</v>
      </c>
      <c r="F717">
        <v>10</v>
      </c>
      <c r="G717">
        <v>1</v>
      </c>
      <c r="H717">
        <v>1</v>
      </c>
      <c r="I717" s="2">
        <v>90</v>
      </c>
      <c r="J717" t="s">
        <v>507</v>
      </c>
      <c r="K717" t="s">
        <v>508</v>
      </c>
      <c r="L717" t="s">
        <v>32</v>
      </c>
      <c r="M717" t="s">
        <v>23</v>
      </c>
    </row>
    <row r="718" spans="2:13" ht="14.25" customHeight="1" x14ac:dyDescent="0.3">
      <c r="B718" s="3"/>
      <c r="C718" t="s">
        <v>529</v>
      </c>
      <c r="D718">
        <v>123.9</v>
      </c>
      <c r="E718">
        <v>27.9</v>
      </c>
      <c r="F718">
        <v>3</v>
      </c>
      <c r="G718">
        <v>2</v>
      </c>
      <c r="H718">
        <v>1</v>
      </c>
      <c r="I718" s="2">
        <v>6.3</v>
      </c>
      <c r="J718" t="s">
        <v>571</v>
      </c>
      <c r="K718" t="s">
        <v>271</v>
      </c>
      <c r="L718" t="s">
        <v>27</v>
      </c>
      <c r="M718" t="s">
        <v>33</v>
      </c>
    </row>
    <row r="719" spans="2:13" ht="14.25" customHeight="1" x14ac:dyDescent="0.3">
      <c r="B719" s="3"/>
      <c r="C719" t="s">
        <v>124</v>
      </c>
      <c r="D719">
        <v>127</v>
      </c>
      <c r="E719">
        <v>7</v>
      </c>
      <c r="F719">
        <v>1</v>
      </c>
      <c r="G719">
        <v>2</v>
      </c>
      <c r="H719">
        <v>1</v>
      </c>
      <c r="I719" s="2">
        <v>2.75</v>
      </c>
      <c r="J719" t="s">
        <v>338</v>
      </c>
      <c r="K719" t="s">
        <v>473</v>
      </c>
      <c r="L719" t="s">
        <v>32</v>
      </c>
      <c r="M719" t="s">
        <v>23</v>
      </c>
    </row>
    <row r="720" spans="2:13" ht="14.25" customHeight="1" x14ac:dyDescent="0.3">
      <c r="B720" s="3"/>
      <c r="C720" t="s">
        <v>124</v>
      </c>
      <c r="D720">
        <v>127</v>
      </c>
      <c r="E720">
        <v>120</v>
      </c>
      <c r="F720">
        <v>1</v>
      </c>
      <c r="G720">
        <v>2</v>
      </c>
      <c r="H720">
        <v>1</v>
      </c>
      <c r="I720" s="2">
        <v>17.8</v>
      </c>
      <c r="J720" t="s">
        <v>338</v>
      </c>
      <c r="K720" t="s">
        <v>572</v>
      </c>
      <c r="L720" t="s">
        <v>127</v>
      </c>
      <c r="M720" t="s">
        <v>33</v>
      </c>
    </row>
    <row r="721" spans="2:13" ht="14.25" customHeight="1" x14ac:dyDescent="0.3">
      <c r="B721" s="3"/>
      <c r="C721" t="s">
        <v>124</v>
      </c>
      <c r="D721">
        <v>127</v>
      </c>
      <c r="E721">
        <v>120</v>
      </c>
      <c r="F721">
        <v>1</v>
      </c>
      <c r="G721">
        <v>2</v>
      </c>
      <c r="H721">
        <v>1</v>
      </c>
      <c r="I721" s="2">
        <v>34.67</v>
      </c>
      <c r="J721" t="s">
        <v>338</v>
      </c>
      <c r="K721" t="s">
        <v>473</v>
      </c>
      <c r="L721" t="s">
        <v>32</v>
      </c>
      <c r="M721" t="s">
        <v>23</v>
      </c>
    </row>
    <row r="722" spans="2:13" ht="14.25" customHeight="1" x14ac:dyDescent="0.3">
      <c r="B722" s="3"/>
      <c r="C722" t="s">
        <v>124</v>
      </c>
      <c r="D722">
        <v>127</v>
      </c>
      <c r="E722">
        <v>41.5</v>
      </c>
      <c r="F722">
        <v>1</v>
      </c>
      <c r="G722">
        <v>12</v>
      </c>
      <c r="H722">
        <v>1</v>
      </c>
      <c r="I722" s="2">
        <v>7.35</v>
      </c>
      <c r="J722" t="s">
        <v>338</v>
      </c>
      <c r="K722" t="s">
        <v>572</v>
      </c>
      <c r="L722" t="s">
        <v>127</v>
      </c>
      <c r="M722" t="s">
        <v>33</v>
      </c>
    </row>
    <row r="723" spans="2:13" ht="14.25" customHeight="1" x14ac:dyDescent="0.3">
      <c r="B723" s="3"/>
      <c r="C723" t="s">
        <v>124</v>
      </c>
      <c r="D723">
        <v>127</v>
      </c>
      <c r="E723">
        <v>41.5</v>
      </c>
      <c r="F723">
        <v>1</v>
      </c>
      <c r="G723">
        <v>12</v>
      </c>
      <c r="H723">
        <v>1</v>
      </c>
      <c r="I723" s="2">
        <v>18.829999999999998</v>
      </c>
      <c r="J723" t="s">
        <v>338</v>
      </c>
      <c r="K723" t="s">
        <v>473</v>
      </c>
      <c r="L723" t="s">
        <v>32</v>
      </c>
      <c r="M723" t="s">
        <v>23</v>
      </c>
    </row>
    <row r="724" spans="2:13" ht="14.25" customHeight="1" x14ac:dyDescent="0.3">
      <c r="B724" s="3"/>
      <c r="C724" t="s">
        <v>481</v>
      </c>
      <c r="D724">
        <v>127.5</v>
      </c>
      <c r="E724">
        <v>28.1</v>
      </c>
      <c r="F724">
        <v>2</v>
      </c>
      <c r="G724">
        <v>2</v>
      </c>
      <c r="H724">
        <v>1</v>
      </c>
      <c r="I724" s="2">
        <v>8.6999999999999993</v>
      </c>
      <c r="J724" t="s">
        <v>482</v>
      </c>
      <c r="K724" t="s">
        <v>483</v>
      </c>
      <c r="L724" t="s">
        <v>27</v>
      </c>
      <c r="M724" t="s">
        <v>28</v>
      </c>
    </row>
    <row r="725" spans="2:13" ht="14.25" customHeight="1" x14ac:dyDescent="0.3">
      <c r="B725" s="3"/>
      <c r="C725" t="s">
        <v>481</v>
      </c>
      <c r="D725">
        <v>127.5</v>
      </c>
      <c r="E725">
        <v>28.1</v>
      </c>
      <c r="F725">
        <v>2</v>
      </c>
      <c r="G725">
        <v>2</v>
      </c>
      <c r="H725">
        <v>1</v>
      </c>
      <c r="I725" s="2">
        <v>12.5</v>
      </c>
      <c r="J725" t="s">
        <v>484</v>
      </c>
      <c r="K725" t="s">
        <v>573</v>
      </c>
      <c r="L725" t="s">
        <v>27</v>
      </c>
      <c r="M725" t="s">
        <v>23</v>
      </c>
    </row>
    <row r="726" spans="2:13" ht="14.25" customHeight="1" x14ac:dyDescent="0.3">
      <c r="B726" s="3"/>
      <c r="C726" t="s">
        <v>481</v>
      </c>
      <c r="D726">
        <v>127.5</v>
      </c>
      <c r="E726">
        <v>56.1</v>
      </c>
      <c r="F726">
        <v>2</v>
      </c>
      <c r="G726">
        <v>2</v>
      </c>
      <c r="H726">
        <v>1</v>
      </c>
      <c r="I726" s="2">
        <v>26</v>
      </c>
      <c r="J726" t="s">
        <v>482</v>
      </c>
      <c r="K726" t="s">
        <v>483</v>
      </c>
      <c r="L726" t="s">
        <v>27</v>
      </c>
      <c r="M726" t="s">
        <v>28</v>
      </c>
    </row>
    <row r="727" spans="2:13" ht="14.25" customHeight="1" x14ac:dyDescent="0.3">
      <c r="B727" s="3"/>
      <c r="C727" t="s">
        <v>481</v>
      </c>
      <c r="D727">
        <v>127.5</v>
      </c>
      <c r="E727">
        <v>56.1</v>
      </c>
      <c r="F727">
        <v>2</v>
      </c>
      <c r="G727">
        <v>2</v>
      </c>
      <c r="H727">
        <v>1</v>
      </c>
      <c r="I727" s="2">
        <v>35</v>
      </c>
      <c r="J727" t="s">
        <v>484</v>
      </c>
      <c r="K727" t="s">
        <v>573</v>
      </c>
      <c r="L727" t="s">
        <v>27</v>
      </c>
      <c r="M727" t="s">
        <v>23</v>
      </c>
    </row>
    <row r="728" spans="2:13" ht="14.25" customHeight="1" x14ac:dyDescent="0.3">
      <c r="B728" s="3"/>
      <c r="C728" t="s">
        <v>481</v>
      </c>
      <c r="D728">
        <v>127.7</v>
      </c>
      <c r="E728">
        <v>74.3</v>
      </c>
      <c r="F728">
        <v>2</v>
      </c>
      <c r="G728">
        <v>2</v>
      </c>
      <c r="H728">
        <v>1</v>
      </c>
      <c r="I728" s="2">
        <v>26</v>
      </c>
      <c r="J728" t="s">
        <v>482</v>
      </c>
      <c r="K728" t="s">
        <v>483</v>
      </c>
      <c r="L728" t="s">
        <v>27</v>
      </c>
      <c r="M728" t="s">
        <v>28</v>
      </c>
    </row>
    <row r="729" spans="2:13" ht="14.25" customHeight="1" x14ac:dyDescent="0.3">
      <c r="B729" s="3"/>
      <c r="C729" t="s">
        <v>481</v>
      </c>
      <c r="D729">
        <v>127.7</v>
      </c>
      <c r="E729">
        <v>74.3</v>
      </c>
      <c r="F729">
        <v>2</v>
      </c>
      <c r="G729">
        <v>2</v>
      </c>
      <c r="H729">
        <v>1</v>
      </c>
      <c r="I729" s="2">
        <v>35</v>
      </c>
      <c r="J729" t="s">
        <v>484</v>
      </c>
      <c r="K729" t="s">
        <v>573</v>
      </c>
      <c r="L729" t="s">
        <v>27</v>
      </c>
      <c r="M729" t="s">
        <v>23</v>
      </c>
    </row>
    <row r="730" spans="2:13" ht="14.25" customHeight="1" x14ac:dyDescent="0.3">
      <c r="B730" s="3"/>
      <c r="C730" t="s">
        <v>124</v>
      </c>
      <c r="D730">
        <v>129</v>
      </c>
      <c r="E730">
        <v>15</v>
      </c>
      <c r="F730">
        <v>2</v>
      </c>
      <c r="G730">
        <v>24</v>
      </c>
      <c r="H730">
        <v>1</v>
      </c>
      <c r="I730" s="2">
        <v>4.9000000000000004</v>
      </c>
      <c r="J730" t="s">
        <v>338</v>
      </c>
      <c r="K730" t="s">
        <v>572</v>
      </c>
      <c r="L730" t="s">
        <v>127</v>
      </c>
      <c r="M730" t="s">
        <v>33</v>
      </c>
    </row>
    <row r="731" spans="2:13" ht="14.25" customHeight="1" x14ac:dyDescent="0.3">
      <c r="B731" s="3"/>
      <c r="C731" t="s">
        <v>124</v>
      </c>
      <c r="D731">
        <v>129</v>
      </c>
      <c r="E731">
        <v>15</v>
      </c>
      <c r="F731">
        <v>2</v>
      </c>
      <c r="G731">
        <v>24</v>
      </c>
      <c r="H731">
        <v>1</v>
      </c>
      <c r="I731" s="2">
        <v>10.93</v>
      </c>
      <c r="J731" t="s">
        <v>338</v>
      </c>
      <c r="K731" t="s">
        <v>473</v>
      </c>
      <c r="L731" t="s">
        <v>32</v>
      </c>
      <c r="M731" t="s">
        <v>23</v>
      </c>
    </row>
    <row r="732" spans="2:13" ht="14.25" customHeight="1" x14ac:dyDescent="0.3">
      <c r="B732" s="3"/>
      <c r="C732" t="s">
        <v>124</v>
      </c>
      <c r="D732">
        <v>129</v>
      </c>
      <c r="E732">
        <v>45.5</v>
      </c>
      <c r="F732">
        <v>2</v>
      </c>
      <c r="G732">
        <v>12</v>
      </c>
      <c r="H732">
        <v>1</v>
      </c>
      <c r="I732" s="2">
        <v>14.4</v>
      </c>
      <c r="J732" t="s">
        <v>338</v>
      </c>
      <c r="K732" t="s">
        <v>572</v>
      </c>
      <c r="L732" t="s">
        <v>127</v>
      </c>
      <c r="M732" t="s">
        <v>33</v>
      </c>
    </row>
    <row r="733" spans="2:13" ht="14.25" customHeight="1" x14ac:dyDescent="0.3">
      <c r="B733" s="3"/>
      <c r="C733" t="s">
        <v>124</v>
      </c>
      <c r="D733">
        <v>129</v>
      </c>
      <c r="E733">
        <v>45.5</v>
      </c>
      <c r="F733">
        <v>2</v>
      </c>
      <c r="G733">
        <v>12</v>
      </c>
      <c r="H733">
        <v>1</v>
      </c>
      <c r="I733" s="2">
        <v>40.44</v>
      </c>
      <c r="J733" t="s">
        <v>338</v>
      </c>
      <c r="K733" t="s">
        <v>473</v>
      </c>
      <c r="L733" t="s">
        <v>32</v>
      </c>
      <c r="M733" t="s">
        <v>23</v>
      </c>
    </row>
    <row r="734" spans="2:13" ht="14.25" customHeight="1" x14ac:dyDescent="0.3">
      <c r="B734" s="3"/>
      <c r="C734" t="s">
        <v>529</v>
      </c>
      <c r="D734">
        <v>129.9</v>
      </c>
      <c r="E734">
        <v>27.9</v>
      </c>
      <c r="F734">
        <v>3</v>
      </c>
      <c r="G734">
        <v>2</v>
      </c>
      <c r="H734">
        <v>1</v>
      </c>
      <c r="I734" s="2">
        <v>6.3</v>
      </c>
      <c r="J734" t="s">
        <v>571</v>
      </c>
      <c r="K734" t="s">
        <v>271</v>
      </c>
      <c r="L734" t="s">
        <v>27</v>
      </c>
      <c r="M734" t="s">
        <v>23</v>
      </c>
    </row>
    <row r="735" spans="2:13" ht="14.25" customHeight="1" x14ac:dyDescent="0.3">
      <c r="B735" s="3"/>
      <c r="C735" t="s">
        <v>516</v>
      </c>
      <c r="D735">
        <v>130</v>
      </c>
      <c r="E735">
        <v>60</v>
      </c>
      <c r="F735">
        <v>1</v>
      </c>
      <c r="G735">
        <v>21</v>
      </c>
      <c r="H735">
        <v>1</v>
      </c>
      <c r="I735" s="2">
        <v>14</v>
      </c>
      <c r="J735" t="s">
        <v>476</v>
      </c>
      <c r="K735" t="s">
        <v>574</v>
      </c>
      <c r="L735" t="s">
        <v>89</v>
      </c>
      <c r="M735" t="s">
        <v>23</v>
      </c>
    </row>
    <row r="736" spans="2:13" ht="14.25" customHeight="1" x14ac:dyDescent="0.3">
      <c r="B736" s="3"/>
      <c r="C736" t="s">
        <v>516</v>
      </c>
      <c r="D736">
        <v>130</v>
      </c>
      <c r="E736">
        <v>60</v>
      </c>
      <c r="F736">
        <v>2</v>
      </c>
      <c r="G736">
        <v>21</v>
      </c>
      <c r="H736">
        <v>1</v>
      </c>
      <c r="I736" s="2">
        <v>26.4</v>
      </c>
      <c r="J736" t="s">
        <v>476</v>
      </c>
      <c r="K736" t="s">
        <v>515</v>
      </c>
      <c r="L736" t="s">
        <v>89</v>
      </c>
      <c r="M736" t="s">
        <v>33</v>
      </c>
    </row>
    <row r="737" spans="2:13" ht="14.25" customHeight="1" x14ac:dyDescent="0.3">
      <c r="B737" s="3"/>
      <c r="C737" t="s">
        <v>124</v>
      </c>
      <c r="D737">
        <v>138</v>
      </c>
      <c r="E737">
        <v>9</v>
      </c>
      <c r="F737">
        <v>2</v>
      </c>
      <c r="G737">
        <v>6</v>
      </c>
      <c r="H737">
        <v>1</v>
      </c>
      <c r="I737" s="2">
        <v>8.4</v>
      </c>
      <c r="J737" t="s">
        <v>338</v>
      </c>
      <c r="K737" t="s">
        <v>473</v>
      </c>
      <c r="L737" t="s">
        <v>32</v>
      </c>
      <c r="M737" t="s">
        <v>23</v>
      </c>
    </row>
    <row r="738" spans="2:13" ht="14.25" customHeight="1" x14ac:dyDescent="0.3">
      <c r="B738" s="3"/>
      <c r="C738" t="s">
        <v>124</v>
      </c>
      <c r="D738">
        <v>138</v>
      </c>
      <c r="E738">
        <v>120</v>
      </c>
      <c r="F738">
        <v>2</v>
      </c>
      <c r="G738">
        <v>6</v>
      </c>
      <c r="H738">
        <v>1</v>
      </c>
      <c r="I738" s="2">
        <v>29.4</v>
      </c>
      <c r="J738" t="s">
        <v>338</v>
      </c>
      <c r="K738" t="s">
        <v>339</v>
      </c>
      <c r="L738" t="s">
        <v>127</v>
      </c>
      <c r="M738" t="s">
        <v>33</v>
      </c>
    </row>
    <row r="739" spans="2:13" ht="14.25" customHeight="1" x14ac:dyDescent="0.3">
      <c r="B739" s="3"/>
      <c r="C739" t="s">
        <v>124</v>
      </c>
      <c r="D739">
        <v>138</v>
      </c>
      <c r="E739">
        <v>120</v>
      </c>
      <c r="F739">
        <v>2</v>
      </c>
      <c r="G739">
        <v>6</v>
      </c>
      <c r="H739">
        <v>1</v>
      </c>
      <c r="I739" s="2">
        <v>83.08</v>
      </c>
      <c r="J739" t="s">
        <v>338</v>
      </c>
      <c r="K739" t="s">
        <v>473</v>
      </c>
      <c r="L739" t="s">
        <v>32</v>
      </c>
      <c r="M739" t="s">
        <v>28</v>
      </c>
    </row>
    <row r="740" spans="2:13" ht="14.25" customHeight="1" x14ac:dyDescent="0.3">
      <c r="B740" s="3"/>
      <c r="C740" t="s">
        <v>124</v>
      </c>
      <c r="D740">
        <v>145</v>
      </c>
      <c r="E740">
        <v>65</v>
      </c>
      <c r="F740">
        <v>3.5</v>
      </c>
      <c r="G740">
        <v>2</v>
      </c>
      <c r="H740">
        <v>1</v>
      </c>
      <c r="I740" s="2">
        <v>31</v>
      </c>
      <c r="J740" t="s">
        <v>211</v>
      </c>
      <c r="K740" t="s">
        <v>309</v>
      </c>
      <c r="L740" t="s">
        <v>27</v>
      </c>
      <c r="M740" t="s">
        <v>28</v>
      </c>
    </row>
    <row r="741" spans="2:13" ht="14.25" customHeight="1" x14ac:dyDescent="0.3">
      <c r="B741" s="3"/>
      <c r="C741" t="s">
        <v>124</v>
      </c>
      <c r="D741">
        <v>145</v>
      </c>
      <c r="E741">
        <v>65</v>
      </c>
      <c r="F741">
        <v>6</v>
      </c>
      <c r="G741">
        <v>2</v>
      </c>
      <c r="H741">
        <v>1</v>
      </c>
      <c r="I741" s="2">
        <v>46</v>
      </c>
      <c r="J741" t="s">
        <v>211</v>
      </c>
      <c r="K741" t="s">
        <v>309</v>
      </c>
      <c r="L741" t="s">
        <v>27</v>
      </c>
      <c r="M741" t="s">
        <v>28</v>
      </c>
    </row>
    <row r="742" spans="2:13" ht="14.25" customHeight="1" x14ac:dyDescent="0.3">
      <c r="B742" s="3"/>
      <c r="C742" t="s">
        <v>124</v>
      </c>
      <c r="D742">
        <v>145</v>
      </c>
      <c r="E742">
        <v>108</v>
      </c>
      <c r="F742">
        <v>6</v>
      </c>
      <c r="G742">
        <v>2</v>
      </c>
      <c r="H742">
        <v>1</v>
      </c>
      <c r="I742" s="2">
        <v>46</v>
      </c>
      <c r="J742" t="s">
        <v>211</v>
      </c>
      <c r="K742" t="s">
        <v>309</v>
      </c>
      <c r="L742" t="s">
        <v>27</v>
      </c>
      <c r="M742" t="s">
        <v>28</v>
      </c>
    </row>
    <row r="743" spans="2:13" ht="14.25" customHeight="1" x14ac:dyDescent="0.3">
      <c r="B743" s="3"/>
      <c r="C743" t="s">
        <v>124</v>
      </c>
      <c r="D743">
        <v>145</v>
      </c>
      <c r="E743">
        <v>960</v>
      </c>
      <c r="F743">
        <v>5</v>
      </c>
      <c r="G743">
        <v>4</v>
      </c>
      <c r="H743">
        <v>1</v>
      </c>
      <c r="I743" s="2">
        <v>40</v>
      </c>
      <c r="J743" t="s">
        <v>211</v>
      </c>
      <c r="K743" t="s">
        <v>309</v>
      </c>
      <c r="L743" t="s">
        <v>27</v>
      </c>
      <c r="M743" t="s">
        <v>28</v>
      </c>
    </row>
    <row r="744" spans="2:13" ht="14.25" customHeight="1" x14ac:dyDescent="0.3">
      <c r="B744" s="3"/>
      <c r="C744" t="s">
        <v>124</v>
      </c>
      <c r="D744">
        <v>145</v>
      </c>
      <c r="E744">
        <v>980</v>
      </c>
      <c r="F744">
        <v>3.5</v>
      </c>
      <c r="G744">
        <v>2</v>
      </c>
      <c r="H744">
        <v>1</v>
      </c>
      <c r="I744" s="2">
        <v>31</v>
      </c>
      <c r="J744" t="s">
        <v>211</v>
      </c>
      <c r="K744" t="s">
        <v>309</v>
      </c>
      <c r="L744" t="s">
        <v>27</v>
      </c>
      <c r="M744" t="s">
        <v>23</v>
      </c>
    </row>
    <row r="745" spans="2:13" ht="14.25" customHeight="1" x14ac:dyDescent="0.3">
      <c r="B745" s="3"/>
      <c r="C745" t="s">
        <v>434</v>
      </c>
      <c r="D745">
        <v>148</v>
      </c>
      <c r="E745">
        <v>58</v>
      </c>
      <c r="F745">
        <v>5</v>
      </c>
      <c r="G745">
        <v>1</v>
      </c>
      <c r="H745">
        <v>1</v>
      </c>
      <c r="I745" s="2">
        <v>58.75</v>
      </c>
      <c r="J745" t="s">
        <v>575</v>
      </c>
      <c r="K745" t="s">
        <v>576</v>
      </c>
      <c r="L745" t="s">
        <v>27</v>
      </c>
      <c r="M745" t="s">
        <v>33</v>
      </c>
    </row>
    <row r="746" spans="2:13" ht="14.25" customHeight="1" x14ac:dyDescent="0.3">
      <c r="B746" s="3"/>
      <c r="C746" t="s">
        <v>372</v>
      </c>
      <c r="D746">
        <v>149</v>
      </c>
      <c r="E746">
        <v>60</v>
      </c>
      <c r="F746">
        <v>1</v>
      </c>
      <c r="G746">
        <v>12</v>
      </c>
      <c r="H746">
        <v>1</v>
      </c>
      <c r="I746" s="2">
        <v>9.25</v>
      </c>
      <c r="J746" t="s">
        <v>373</v>
      </c>
      <c r="K746" t="s">
        <v>451</v>
      </c>
      <c r="L746" t="s">
        <v>22</v>
      </c>
      <c r="M746" t="s">
        <v>28</v>
      </c>
    </row>
    <row r="747" spans="2:13" ht="14.25" customHeight="1" x14ac:dyDescent="0.3">
      <c r="B747" s="3"/>
      <c r="C747" t="s">
        <v>24</v>
      </c>
      <c r="D747">
        <v>150</v>
      </c>
      <c r="E747">
        <v>78</v>
      </c>
      <c r="F747">
        <v>4</v>
      </c>
      <c r="G747">
        <v>13</v>
      </c>
      <c r="H747">
        <v>1</v>
      </c>
      <c r="I747" s="2">
        <v>22</v>
      </c>
      <c r="J747" t="s">
        <v>383</v>
      </c>
      <c r="K747" t="s">
        <v>384</v>
      </c>
      <c r="L747" t="s">
        <v>89</v>
      </c>
      <c r="M747" t="s">
        <v>23</v>
      </c>
    </row>
    <row r="748" spans="2:13" ht="14.25" customHeight="1" x14ac:dyDescent="0.3">
      <c r="B748" s="3"/>
      <c r="C748" t="s">
        <v>24</v>
      </c>
      <c r="D748">
        <v>150</v>
      </c>
      <c r="E748">
        <v>78</v>
      </c>
      <c r="F748">
        <v>4</v>
      </c>
      <c r="G748">
        <v>13</v>
      </c>
      <c r="H748">
        <v>1</v>
      </c>
      <c r="I748" s="2">
        <v>36</v>
      </c>
      <c r="J748" t="s">
        <v>385</v>
      </c>
      <c r="K748" t="s">
        <v>386</v>
      </c>
      <c r="L748" t="s">
        <v>22</v>
      </c>
      <c r="M748" t="s">
        <v>28</v>
      </c>
    </row>
    <row r="749" spans="2:13" ht="14.25" customHeight="1" x14ac:dyDescent="0.3">
      <c r="B749" s="3"/>
      <c r="C749" t="s">
        <v>124</v>
      </c>
      <c r="D749">
        <v>155.5</v>
      </c>
      <c r="E749">
        <v>101</v>
      </c>
      <c r="F749">
        <v>5</v>
      </c>
      <c r="G749">
        <v>2</v>
      </c>
      <c r="H749">
        <v>1</v>
      </c>
      <c r="I749" s="2">
        <v>40</v>
      </c>
      <c r="J749" t="s">
        <v>211</v>
      </c>
      <c r="K749" t="s">
        <v>309</v>
      </c>
      <c r="L749" t="s">
        <v>27</v>
      </c>
      <c r="M749" t="s">
        <v>28</v>
      </c>
    </row>
    <row r="750" spans="2:13" ht="14.25" customHeight="1" x14ac:dyDescent="0.3">
      <c r="B750" s="3"/>
      <c r="C750" t="s">
        <v>124</v>
      </c>
      <c r="D750">
        <v>155.5</v>
      </c>
      <c r="E750">
        <v>110</v>
      </c>
      <c r="F750">
        <v>4.5</v>
      </c>
      <c r="G750">
        <v>2</v>
      </c>
      <c r="H750">
        <v>1</v>
      </c>
      <c r="I750" s="2">
        <v>37</v>
      </c>
      <c r="J750" t="s">
        <v>211</v>
      </c>
      <c r="K750" t="s">
        <v>309</v>
      </c>
      <c r="L750" t="s">
        <v>27</v>
      </c>
      <c r="M750" t="s">
        <v>23</v>
      </c>
    </row>
    <row r="751" spans="2:13" ht="14.25" customHeight="1" x14ac:dyDescent="0.3">
      <c r="B751" s="3"/>
      <c r="C751" t="s">
        <v>443</v>
      </c>
      <c r="D751">
        <v>160</v>
      </c>
      <c r="E751">
        <v>10</v>
      </c>
      <c r="F751">
        <v>8</v>
      </c>
      <c r="G751">
        <v>2</v>
      </c>
      <c r="H751">
        <v>1</v>
      </c>
      <c r="I751" s="2">
        <v>16</v>
      </c>
      <c r="J751" t="s">
        <v>514</v>
      </c>
      <c r="K751" t="s">
        <v>515</v>
      </c>
      <c r="L751" t="s">
        <v>89</v>
      </c>
      <c r="M751" t="s">
        <v>23</v>
      </c>
    </row>
    <row r="752" spans="2:13" ht="14.25" customHeight="1" x14ac:dyDescent="0.3">
      <c r="B752" s="3"/>
      <c r="C752" t="s">
        <v>443</v>
      </c>
      <c r="D752">
        <v>170</v>
      </c>
      <c r="E752">
        <v>10</v>
      </c>
      <c r="F752">
        <v>18</v>
      </c>
      <c r="G752">
        <v>2</v>
      </c>
      <c r="H752">
        <v>1</v>
      </c>
      <c r="I752" s="2">
        <v>39.4</v>
      </c>
      <c r="J752" t="s">
        <v>430</v>
      </c>
      <c r="K752" t="s">
        <v>515</v>
      </c>
      <c r="L752" t="s">
        <v>89</v>
      </c>
      <c r="M752" t="s">
        <v>23</v>
      </c>
    </row>
    <row r="753" spans="2:13" ht="14.25" customHeight="1" x14ac:dyDescent="0.3">
      <c r="B753" s="3"/>
      <c r="C753" t="s">
        <v>443</v>
      </c>
      <c r="D753">
        <v>184.2</v>
      </c>
      <c r="E753">
        <v>59.3</v>
      </c>
      <c r="F753">
        <v>1</v>
      </c>
      <c r="G753">
        <v>1</v>
      </c>
      <c r="H753">
        <v>1</v>
      </c>
      <c r="I753" s="2">
        <v>16</v>
      </c>
      <c r="J753" t="s">
        <v>270</v>
      </c>
      <c r="K753" t="s">
        <v>515</v>
      </c>
      <c r="L753" t="s">
        <v>89</v>
      </c>
      <c r="M753" t="s">
        <v>23</v>
      </c>
    </row>
    <row r="754" spans="2:13" ht="14.25" customHeight="1" x14ac:dyDescent="0.3">
      <c r="B754" s="3"/>
      <c r="C754" t="s">
        <v>443</v>
      </c>
      <c r="D754">
        <v>200</v>
      </c>
      <c r="E754">
        <v>59.3</v>
      </c>
      <c r="F754">
        <v>1</v>
      </c>
      <c r="G754">
        <v>1</v>
      </c>
      <c r="H754">
        <v>1</v>
      </c>
      <c r="I754" s="2">
        <v>16</v>
      </c>
      <c r="J754" t="s">
        <v>270</v>
      </c>
      <c r="K754" t="s">
        <v>515</v>
      </c>
      <c r="L754" t="s">
        <v>89</v>
      </c>
      <c r="M754" t="s">
        <v>23</v>
      </c>
    </row>
    <row r="755" spans="2:13" ht="14.25" customHeight="1" x14ac:dyDescent="0.3">
      <c r="B755" s="3"/>
      <c r="C755" t="s">
        <v>124</v>
      </c>
      <c r="D755">
        <v>185</v>
      </c>
      <c r="E755">
        <v>57</v>
      </c>
      <c r="F755">
        <v>4</v>
      </c>
      <c r="G755">
        <v>2</v>
      </c>
      <c r="H755">
        <v>1</v>
      </c>
      <c r="I755" s="2">
        <v>67.8</v>
      </c>
      <c r="J755" t="s">
        <v>110</v>
      </c>
      <c r="K755" t="s">
        <v>576</v>
      </c>
      <c r="L755" t="s">
        <v>27</v>
      </c>
      <c r="M755" t="s">
        <v>23</v>
      </c>
    </row>
    <row r="756" spans="2:13" ht="14.25" customHeight="1" x14ac:dyDescent="0.3">
      <c r="B756" s="3"/>
      <c r="C756" t="s">
        <v>443</v>
      </c>
      <c r="D756">
        <v>186.4</v>
      </c>
      <c r="E756">
        <v>83.2</v>
      </c>
      <c r="F756">
        <v>1</v>
      </c>
      <c r="G756">
        <v>1</v>
      </c>
      <c r="H756">
        <v>1</v>
      </c>
      <c r="I756" s="2">
        <v>16</v>
      </c>
      <c r="J756" t="s">
        <v>577</v>
      </c>
      <c r="K756" t="s">
        <v>515</v>
      </c>
      <c r="L756" t="s">
        <v>89</v>
      </c>
      <c r="M756" t="s">
        <v>23</v>
      </c>
    </row>
    <row r="757" spans="2:13" ht="14.25" customHeight="1" x14ac:dyDescent="0.3">
      <c r="B757" s="3"/>
      <c r="C757" t="s">
        <v>124</v>
      </c>
      <c r="D757">
        <v>186.8</v>
      </c>
      <c r="E757">
        <v>75.2</v>
      </c>
      <c r="F757">
        <v>4.8</v>
      </c>
      <c r="G757">
        <v>1</v>
      </c>
      <c r="H757">
        <v>1</v>
      </c>
      <c r="I757" s="2">
        <v>90</v>
      </c>
      <c r="J757" t="s">
        <v>578</v>
      </c>
      <c r="K757" t="s">
        <v>579</v>
      </c>
      <c r="L757" t="s">
        <v>27</v>
      </c>
      <c r="M757" t="s">
        <v>33</v>
      </c>
    </row>
    <row r="758" spans="2:13" ht="14.25" customHeight="1" x14ac:dyDescent="0.3">
      <c r="B758" s="3"/>
      <c r="C758" t="s">
        <v>124</v>
      </c>
      <c r="D758">
        <v>186.8</v>
      </c>
      <c r="E758">
        <v>75.2</v>
      </c>
      <c r="F758">
        <v>4.8</v>
      </c>
      <c r="G758">
        <v>1</v>
      </c>
      <c r="H758">
        <v>1</v>
      </c>
      <c r="I758" s="2">
        <v>95</v>
      </c>
      <c r="J758" t="s">
        <v>25</v>
      </c>
      <c r="K758" t="s">
        <v>580</v>
      </c>
      <c r="L758" t="s">
        <v>32</v>
      </c>
      <c r="M758" t="s">
        <v>28</v>
      </c>
    </row>
    <row r="759" spans="2:13" ht="14.25" customHeight="1" x14ac:dyDescent="0.3">
      <c r="B759" s="3"/>
      <c r="C759" t="s">
        <v>124</v>
      </c>
      <c r="D759">
        <v>186.8</v>
      </c>
      <c r="E759">
        <v>75.2</v>
      </c>
      <c r="F759">
        <v>4.8</v>
      </c>
      <c r="G759">
        <v>1</v>
      </c>
      <c r="H759">
        <v>1</v>
      </c>
      <c r="I759" s="2">
        <v>175</v>
      </c>
      <c r="J759" t="s">
        <v>25</v>
      </c>
      <c r="K759" t="s">
        <v>581</v>
      </c>
      <c r="L759" t="s">
        <v>32</v>
      </c>
      <c r="M759" t="s">
        <v>23</v>
      </c>
    </row>
    <row r="760" spans="2:13" ht="14.25" customHeight="1" x14ac:dyDescent="0.3">
      <c r="B760" s="3"/>
      <c r="C760" t="s">
        <v>124</v>
      </c>
      <c r="D760">
        <v>186.8</v>
      </c>
      <c r="E760">
        <v>75.2</v>
      </c>
      <c r="F760">
        <v>18.899999999999999</v>
      </c>
      <c r="G760">
        <v>1</v>
      </c>
      <c r="H760">
        <v>1</v>
      </c>
      <c r="I760" s="2">
        <v>360</v>
      </c>
      <c r="J760" t="s">
        <v>25</v>
      </c>
      <c r="K760" t="s">
        <v>579</v>
      </c>
      <c r="L760" t="s">
        <v>27</v>
      </c>
      <c r="M760" t="s">
        <v>33</v>
      </c>
    </row>
    <row r="761" spans="2:13" ht="14.25" customHeight="1" x14ac:dyDescent="0.3">
      <c r="B761" s="3"/>
      <c r="C761" t="s">
        <v>124</v>
      </c>
      <c r="D761">
        <v>186.8</v>
      </c>
      <c r="E761">
        <v>75.2</v>
      </c>
      <c r="F761">
        <v>18.899999999999999</v>
      </c>
      <c r="G761">
        <v>1</v>
      </c>
      <c r="H761">
        <v>1</v>
      </c>
      <c r="I761" s="2">
        <v>396</v>
      </c>
      <c r="J761" t="s">
        <v>25</v>
      </c>
      <c r="K761" t="s">
        <v>582</v>
      </c>
      <c r="L761" t="s">
        <v>89</v>
      </c>
      <c r="M761" t="s">
        <v>28</v>
      </c>
    </row>
    <row r="762" spans="2:13" ht="14.25" customHeight="1" x14ac:dyDescent="0.3">
      <c r="B762" s="3"/>
      <c r="C762" t="s">
        <v>124</v>
      </c>
      <c r="D762">
        <v>186.8</v>
      </c>
      <c r="E762">
        <v>75.2</v>
      </c>
      <c r="F762">
        <v>18.899999999999999</v>
      </c>
      <c r="G762">
        <v>1</v>
      </c>
      <c r="H762">
        <v>1</v>
      </c>
      <c r="I762" s="2">
        <v>425</v>
      </c>
      <c r="J762" t="s">
        <v>25</v>
      </c>
      <c r="K762" t="s">
        <v>581</v>
      </c>
      <c r="L762" t="s">
        <v>27</v>
      </c>
      <c r="M762" t="s">
        <v>23</v>
      </c>
    </row>
    <row r="763" spans="2:13" ht="14.25" customHeight="1" x14ac:dyDescent="0.3">
      <c r="B763" s="3"/>
      <c r="C763" t="s">
        <v>171</v>
      </c>
      <c r="D763">
        <v>188.5</v>
      </c>
      <c r="E763">
        <v>2</v>
      </c>
      <c r="F763">
        <v>2</v>
      </c>
      <c r="G763">
        <v>1</v>
      </c>
      <c r="H763">
        <v>1</v>
      </c>
      <c r="I763" s="2">
        <v>6</v>
      </c>
      <c r="J763" t="s">
        <v>172</v>
      </c>
      <c r="K763" t="s">
        <v>515</v>
      </c>
      <c r="L763" t="s">
        <v>89</v>
      </c>
    </row>
    <row r="764" spans="2:13" ht="14.25" customHeight="1" x14ac:dyDescent="0.3">
      <c r="B764" s="3"/>
      <c r="C764" t="s">
        <v>42</v>
      </c>
      <c r="D764">
        <v>195</v>
      </c>
      <c r="E764">
        <v>20</v>
      </c>
      <c r="F764">
        <v>18</v>
      </c>
      <c r="G764">
        <v>5000</v>
      </c>
      <c r="H764">
        <v>1</v>
      </c>
      <c r="I764" s="2">
        <v>0.16</v>
      </c>
      <c r="J764" t="s">
        <v>583</v>
      </c>
      <c r="K764" t="s">
        <v>584</v>
      </c>
      <c r="L764" t="s">
        <v>27</v>
      </c>
    </row>
    <row r="765" spans="2:13" ht="14.25" customHeight="1" x14ac:dyDescent="0.3">
      <c r="B765" s="3"/>
      <c r="C765" t="s">
        <v>585</v>
      </c>
      <c r="D765">
        <v>195</v>
      </c>
      <c r="E765">
        <v>74</v>
      </c>
      <c r="F765">
        <v>2</v>
      </c>
      <c r="G765">
        <v>2</v>
      </c>
      <c r="H765">
        <v>1</v>
      </c>
      <c r="I765" s="2">
        <v>31.68</v>
      </c>
      <c r="J765" t="s">
        <v>183</v>
      </c>
      <c r="K765" t="s">
        <v>234</v>
      </c>
      <c r="L765" t="s">
        <v>22</v>
      </c>
      <c r="M765" t="s">
        <v>76</v>
      </c>
    </row>
    <row r="766" spans="2:13" ht="14.25" customHeight="1" x14ac:dyDescent="0.3">
      <c r="B766" s="3"/>
      <c r="C766" t="s">
        <v>443</v>
      </c>
      <c r="D766">
        <v>200</v>
      </c>
      <c r="E766">
        <v>60.2</v>
      </c>
      <c r="F766">
        <v>1</v>
      </c>
      <c r="G766">
        <v>1</v>
      </c>
      <c r="H766">
        <v>1</v>
      </c>
      <c r="I766" s="2">
        <v>16</v>
      </c>
      <c r="J766" t="s">
        <v>586</v>
      </c>
      <c r="K766" t="s">
        <v>515</v>
      </c>
      <c r="L766" t="s">
        <v>89</v>
      </c>
      <c r="M766" t="s">
        <v>23</v>
      </c>
    </row>
    <row r="767" spans="2:13" ht="14.25" customHeight="1" x14ac:dyDescent="0.3">
      <c r="B767" s="3"/>
      <c r="C767" t="s">
        <v>413</v>
      </c>
      <c r="D767">
        <v>200</v>
      </c>
      <c r="E767">
        <v>100</v>
      </c>
      <c r="F767">
        <v>1</v>
      </c>
      <c r="G767">
        <v>8</v>
      </c>
      <c r="H767">
        <v>1</v>
      </c>
      <c r="I767" s="2">
        <v>22.5</v>
      </c>
      <c r="J767" t="s">
        <v>505</v>
      </c>
      <c r="K767" t="s">
        <v>506</v>
      </c>
      <c r="L767" t="s">
        <v>89</v>
      </c>
      <c r="M767" t="s">
        <v>587</v>
      </c>
    </row>
    <row r="768" spans="2:13" ht="14.25" customHeight="1" x14ac:dyDescent="0.3">
      <c r="B768" s="3"/>
      <c r="C768" t="s">
        <v>524</v>
      </c>
      <c r="D768">
        <v>200</v>
      </c>
      <c r="E768">
        <v>100</v>
      </c>
      <c r="F768">
        <v>3</v>
      </c>
      <c r="G768">
        <v>14</v>
      </c>
      <c r="H768">
        <v>1</v>
      </c>
      <c r="I768" s="2">
        <v>29</v>
      </c>
      <c r="J768" t="s">
        <v>588</v>
      </c>
      <c r="K768" t="s">
        <v>589</v>
      </c>
      <c r="L768" t="s">
        <v>32</v>
      </c>
      <c r="M768" t="s">
        <v>33</v>
      </c>
    </row>
    <row r="769" spans="2:13" ht="14.25" customHeight="1" x14ac:dyDescent="0.3">
      <c r="B769" s="3"/>
      <c r="C769" t="s">
        <v>413</v>
      </c>
      <c r="D769">
        <v>200</v>
      </c>
      <c r="E769">
        <v>100</v>
      </c>
      <c r="F769">
        <v>3</v>
      </c>
      <c r="G769">
        <v>8</v>
      </c>
      <c r="H769">
        <v>1</v>
      </c>
      <c r="I769" s="2">
        <v>56</v>
      </c>
      <c r="J769" t="s">
        <v>505</v>
      </c>
      <c r="K769" t="s">
        <v>508</v>
      </c>
      <c r="L769" t="s">
        <v>32</v>
      </c>
      <c r="M769" t="s">
        <v>23</v>
      </c>
    </row>
    <row r="770" spans="2:13" ht="14.25" customHeight="1" x14ac:dyDescent="0.3">
      <c r="B770" s="3"/>
      <c r="C770" t="s">
        <v>413</v>
      </c>
      <c r="D770">
        <v>200</v>
      </c>
      <c r="E770">
        <v>100</v>
      </c>
      <c r="F770">
        <v>3</v>
      </c>
      <c r="G770">
        <v>4</v>
      </c>
      <c r="H770">
        <v>1</v>
      </c>
      <c r="I770" s="2">
        <v>65.290000000000006</v>
      </c>
      <c r="J770" t="s">
        <v>505</v>
      </c>
      <c r="K770" t="s">
        <v>506</v>
      </c>
      <c r="L770" t="s">
        <v>89</v>
      </c>
      <c r="M770" t="s">
        <v>23</v>
      </c>
    </row>
    <row r="771" spans="2:13" ht="14.25" customHeight="1" x14ac:dyDescent="0.3">
      <c r="B771" s="3"/>
      <c r="C771" t="s">
        <v>269</v>
      </c>
      <c r="D771">
        <v>200</v>
      </c>
      <c r="E771">
        <v>100</v>
      </c>
      <c r="F771">
        <v>4</v>
      </c>
      <c r="G771">
        <v>4</v>
      </c>
      <c r="H771">
        <v>1</v>
      </c>
      <c r="I771" s="2">
        <v>68.5</v>
      </c>
      <c r="J771" t="s">
        <v>590</v>
      </c>
      <c r="K771" t="s">
        <v>591</v>
      </c>
      <c r="L771" t="s">
        <v>27</v>
      </c>
      <c r="M771" t="s">
        <v>23</v>
      </c>
    </row>
    <row r="772" spans="2:13" ht="14.25" customHeight="1" x14ac:dyDescent="0.3">
      <c r="B772" s="3"/>
      <c r="C772" t="s">
        <v>24</v>
      </c>
      <c r="D772">
        <v>200</v>
      </c>
      <c r="E772">
        <v>100</v>
      </c>
      <c r="F772">
        <v>4</v>
      </c>
      <c r="G772">
        <v>16</v>
      </c>
      <c r="H772">
        <v>1</v>
      </c>
      <c r="I772" s="2">
        <v>26.9</v>
      </c>
      <c r="J772" t="s">
        <v>592</v>
      </c>
      <c r="K772" t="s">
        <v>593</v>
      </c>
      <c r="L772" t="s">
        <v>22</v>
      </c>
      <c r="M772" t="s">
        <v>28</v>
      </c>
    </row>
    <row r="773" spans="2:13" ht="14.25" customHeight="1" x14ac:dyDescent="0.3">
      <c r="B773" s="3"/>
      <c r="C773" t="s">
        <v>24</v>
      </c>
      <c r="D773">
        <v>200</v>
      </c>
      <c r="E773">
        <v>100</v>
      </c>
      <c r="F773">
        <v>4</v>
      </c>
      <c r="G773">
        <v>16</v>
      </c>
      <c r="H773">
        <v>1</v>
      </c>
      <c r="I773" s="2">
        <v>28</v>
      </c>
      <c r="J773" t="s">
        <v>592</v>
      </c>
      <c r="K773" t="s">
        <v>594</v>
      </c>
      <c r="L773" t="s">
        <v>22</v>
      </c>
      <c r="M773" t="s">
        <v>23</v>
      </c>
    </row>
    <row r="774" spans="2:13" ht="14.25" customHeight="1" x14ac:dyDescent="0.3">
      <c r="B774" s="3"/>
      <c r="C774" t="s">
        <v>413</v>
      </c>
      <c r="D774">
        <v>200</v>
      </c>
      <c r="E774">
        <v>100</v>
      </c>
      <c r="F774">
        <v>4.5</v>
      </c>
      <c r="G774">
        <v>4</v>
      </c>
      <c r="H774">
        <v>1</v>
      </c>
      <c r="I774" s="2">
        <v>108.18</v>
      </c>
      <c r="J774" t="s">
        <v>505</v>
      </c>
      <c r="K774" t="s">
        <v>506</v>
      </c>
      <c r="L774" t="s">
        <v>89</v>
      </c>
      <c r="M774" t="s">
        <v>23</v>
      </c>
    </row>
    <row r="775" spans="2:13" ht="14.25" customHeight="1" x14ac:dyDescent="0.3">
      <c r="B775" s="3"/>
      <c r="C775" t="s">
        <v>413</v>
      </c>
      <c r="D775">
        <v>200</v>
      </c>
      <c r="E775">
        <v>100</v>
      </c>
      <c r="F775">
        <v>6</v>
      </c>
      <c r="G775">
        <v>15</v>
      </c>
      <c r="H775">
        <v>1</v>
      </c>
      <c r="I775" s="2">
        <v>129.91999999999999</v>
      </c>
      <c r="J775" t="s">
        <v>505</v>
      </c>
      <c r="K775" t="s">
        <v>506</v>
      </c>
      <c r="L775" t="s">
        <v>89</v>
      </c>
      <c r="M775" t="s">
        <v>33</v>
      </c>
    </row>
    <row r="776" spans="2:13" ht="14.25" customHeight="1" x14ac:dyDescent="0.3">
      <c r="B776" s="3"/>
      <c r="C776" t="s">
        <v>413</v>
      </c>
      <c r="D776">
        <v>200</v>
      </c>
      <c r="E776">
        <v>100</v>
      </c>
      <c r="F776">
        <v>7</v>
      </c>
      <c r="G776">
        <v>8</v>
      </c>
      <c r="H776">
        <v>1</v>
      </c>
      <c r="I776" s="2">
        <v>95</v>
      </c>
      <c r="J776" t="s">
        <v>505</v>
      </c>
      <c r="K776" t="s">
        <v>508</v>
      </c>
      <c r="L776" t="s">
        <v>32</v>
      </c>
      <c r="M776" t="s">
        <v>33</v>
      </c>
    </row>
    <row r="777" spans="2:13" ht="14.25" customHeight="1" x14ac:dyDescent="0.3">
      <c r="B777" s="3"/>
      <c r="C777" t="s">
        <v>413</v>
      </c>
      <c r="D777">
        <v>200</v>
      </c>
      <c r="E777">
        <v>100</v>
      </c>
      <c r="F777">
        <v>7</v>
      </c>
      <c r="G777">
        <v>15</v>
      </c>
      <c r="H777">
        <v>1</v>
      </c>
      <c r="I777" s="2">
        <v>93</v>
      </c>
      <c r="J777" t="s">
        <v>505</v>
      </c>
      <c r="K777" t="s">
        <v>508</v>
      </c>
      <c r="L777" t="s">
        <v>32</v>
      </c>
      <c r="M777" t="s">
        <v>33</v>
      </c>
    </row>
    <row r="778" spans="2:13" ht="14.25" customHeight="1" x14ac:dyDescent="0.3">
      <c r="B778" s="3"/>
      <c r="C778" t="s">
        <v>595</v>
      </c>
      <c r="D778">
        <v>200</v>
      </c>
      <c r="E778">
        <v>100</v>
      </c>
      <c r="F778">
        <v>1</v>
      </c>
      <c r="G778">
        <v>100</v>
      </c>
      <c r="H778">
        <v>1</v>
      </c>
      <c r="I778" s="2">
        <f>19.53*0.96</f>
        <v>18.748799999999999</v>
      </c>
      <c r="J778" t="s">
        <v>596</v>
      </c>
      <c r="K778" t="s">
        <v>597</v>
      </c>
      <c r="L778" t="s">
        <v>27</v>
      </c>
      <c r="M778" t="s">
        <v>23</v>
      </c>
    </row>
    <row r="779" spans="2:13" ht="14.25" customHeight="1" x14ac:dyDescent="0.3">
      <c r="C779" t="s">
        <v>595</v>
      </c>
      <c r="D779">
        <v>200</v>
      </c>
      <c r="E779">
        <v>100</v>
      </c>
      <c r="F779">
        <v>1</v>
      </c>
      <c r="G779">
        <v>100</v>
      </c>
      <c r="H779">
        <v>1</v>
      </c>
      <c r="I779" s="2">
        <v>13.8</v>
      </c>
      <c r="J779" t="s">
        <v>598</v>
      </c>
      <c r="K779" t="s">
        <v>599</v>
      </c>
      <c r="L779" t="s">
        <v>27</v>
      </c>
      <c r="M779" t="s">
        <v>33</v>
      </c>
    </row>
    <row r="780" spans="2:13" ht="14.25" customHeight="1" x14ac:dyDescent="0.3">
      <c r="C780" t="s">
        <v>24</v>
      </c>
      <c r="D780">
        <v>200</v>
      </c>
      <c r="E780">
        <v>120</v>
      </c>
      <c r="F780">
        <v>2</v>
      </c>
      <c r="G780">
        <v>6</v>
      </c>
      <c r="H780">
        <v>1</v>
      </c>
      <c r="I780" s="2">
        <v>20</v>
      </c>
      <c r="J780" t="s">
        <v>484</v>
      </c>
      <c r="K780" t="s">
        <v>600</v>
      </c>
      <c r="L780" t="s">
        <v>27</v>
      </c>
      <c r="M780" t="s">
        <v>33</v>
      </c>
    </row>
    <row r="781" spans="2:13" ht="14.25" customHeight="1" x14ac:dyDescent="0.3">
      <c r="C781" t="s">
        <v>24</v>
      </c>
      <c r="D781">
        <v>200</v>
      </c>
      <c r="E781">
        <v>120</v>
      </c>
      <c r="F781">
        <v>2</v>
      </c>
      <c r="G781">
        <v>10</v>
      </c>
      <c r="H781">
        <v>1</v>
      </c>
      <c r="I781" s="2">
        <v>18</v>
      </c>
      <c r="J781" t="s">
        <v>484</v>
      </c>
      <c r="K781" t="s">
        <v>600</v>
      </c>
      <c r="L781" t="s">
        <v>27</v>
      </c>
      <c r="M781" t="s">
        <v>33</v>
      </c>
    </row>
    <row r="782" spans="2:13" ht="14.25" customHeight="1" x14ac:dyDescent="0.3">
      <c r="C782" t="s">
        <v>24</v>
      </c>
      <c r="D782">
        <v>200</v>
      </c>
      <c r="E782">
        <v>120</v>
      </c>
      <c r="F782">
        <v>2</v>
      </c>
      <c r="G782">
        <v>20</v>
      </c>
      <c r="H782">
        <v>1</v>
      </c>
      <c r="I782" s="2">
        <v>15</v>
      </c>
      <c r="J782" t="s">
        <v>484</v>
      </c>
      <c r="K782" t="s">
        <v>600</v>
      </c>
      <c r="L782" t="s">
        <v>27</v>
      </c>
      <c r="M782" t="s">
        <v>33</v>
      </c>
    </row>
    <row r="783" spans="2:13" ht="14.25" customHeight="1" x14ac:dyDescent="0.3">
      <c r="C783" t="s">
        <v>24</v>
      </c>
      <c r="D783">
        <v>200</v>
      </c>
      <c r="E783">
        <v>120</v>
      </c>
      <c r="F783">
        <v>2</v>
      </c>
      <c r="G783">
        <v>30</v>
      </c>
      <c r="H783">
        <v>1</v>
      </c>
      <c r="I783" s="2">
        <v>12</v>
      </c>
      <c r="J783" t="s">
        <v>484</v>
      </c>
      <c r="K783" t="s">
        <v>600</v>
      </c>
      <c r="L783" t="s">
        <v>27</v>
      </c>
      <c r="M783" t="s">
        <v>33</v>
      </c>
    </row>
    <row r="784" spans="2:13" ht="14.25" customHeight="1" x14ac:dyDescent="0.3">
      <c r="C784" t="s">
        <v>24</v>
      </c>
      <c r="D784">
        <v>200</v>
      </c>
      <c r="E784">
        <v>120</v>
      </c>
      <c r="F784">
        <v>2</v>
      </c>
      <c r="G784">
        <v>40</v>
      </c>
      <c r="H784">
        <v>1</v>
      </c>
      <c r="I784" s="2">
        <v>10</v>
      </c>
      <c r="J784" t="s">
        <v>484</v>
      </c>
      <c r="K784" t="s">
        <v>600</v>
      </c>
      <c r="L784" t="s">
        <v>27</v>
      </c>
      <c r="M784" t="s">
        <v>33</v>
      </c>
    </row>
    <row r="785" spans="3:13" ht="14.25" customHeight="1" x14ac:dyDescent="0.3">
      <c r="C785" t="s">
        <v>24</v>
      </c>
      <c r="D785">
        <v>200</v>
      </c>
      <c r="E785">
        <v>120</v>
      </c>
      <c r="F785">
        <v>2</v>
      </c>
      <c r="G785">
        <v>50</v>
      </c>
      <c r="H785">
        <v>1</v>
      </c>
      <c r="I785" s="2">
        <v>9.5</v>
      </c>
      <c r="J785" t="s">
        <v>484</v>
      </c>
      <c r="K785" t="s">
        <v>600</v>
      </c>
      <c r="L785" t="s">
        <v>27</v>
      </c>
      <c r="M785" t="s">
        <v>33</v>
      </c>
    </row>
    <row r="786" spans="3:13" ht="14.25" customHeight="1" x14ac:dyDescent="0.3">
      <c r="C786" t="s">
        <v>24</v>
      </c>
      <c r="D786">
        <v>200</v>
      </c>
      <c r="E786">
        <v>120</v>
      </c>
      <c r="F786">
        <v>2</v>
      </c>
      <c r="G786">
        <v>100</v>
      </c>
      <c r="H786">
        <v>1</v>
      </c>
      <c r="I786" s="2">
        <v>9</v>
      </c>
      <c r="J786" t="s">
        <v>484</v>
      </c>
      <c r="K786" t="s">
        <v>600</v>
      </c>
      <c r="L786" t="s">
        <v>27</v>
      </c>
      <c r="M786" t="s">
        <v>33</v>
      </c>
    </row>
    <row r="787" spans="3:13" ht="14.25" customHeight="1" x14ac:dyDescent="0.3">
      <c r="C787" t="s">
        <v>529</v>
      </c>
      <c r="D787">
        <v>200</v>
      </c>
      <c r="E787">
        <v>150</v>
      </c>
      <c r="F787">
        <v>61</v>
      </c>
      <c r="G787">
        <v>1</v>
      </c>
      <c r="H787">
        <v>1</v>
      </c>
      <c r="I787" s="2">
        <v>2300</v>
      </c>
      <c r="J787" t="s">
        <v>565</v>
      </c>
      <c r="K787" t="s">
        <v>601</v>
      </c>
      <c r="L787" t="s">
        <v>22</v>
      </c>
      <c r="M787" t="s">
        <v>33</v>
      </c>
    </row>
    <row r="788" spans="3:13" ht="14.25" customHeight="1" x14ac:dyDescent="0.3">
      <c r="C788" t="s">
        <v>529</v>
      </c>
      <c r="D788">
        <v>240</v>
      </c>
      <c r="E788">
        <v>60</v>
      </c>
      <c r="F788">
        <v>40</v>
      </c>
      <c r="G788">
        <v>4</v>
      </c>
      <c r="H788">
        <v>1</v>
      </c>
      <c r="I788" s="2">
        <v>430</v>
      </c>
      <c r="J788" t="s">
        <v>565</v>
      </c>
      <c r="K788" t="s">
        <v>601</v>
      </c>
      <c r="L788" t="s">
        <v>22</v>
      </c>
      <c r="M788" t="s">
        <v>28</v>
      </c>
    </row>
    <row r="789" spans="3:13" ht="14.25" customHeight="1" x14ac:dyDescent="0.3">
      <c r="C789" t="s">
        <v>124</v>
      </c>
      <c r="D789">
        <v>383</v>
      </c>
      <c r="E789">
        <v>71</v>
      </c>
      <c r="F789">
        <v>2.5</v>
      </c>
      <c r="G789">
        <v>2</v>
      </c>
      <c r="H789">
        <v>1</v>
      </c>
      <c r="I789" s="2">
        <v>40</v>
      </c>
      <c r="J789" t="s">
        <v>211</v>
      </c>
      <c r="K789" t="s">
        <v>309</v>
      </c>
      <c r="L789" t="s">
        <v>27</v>
      </c>
      <c r="M789" t="s">
        <v>28</v>
      </c>
    </row>
    <row r="790" spans="3:13" ht="14.25" customHeight="1" x14ac:dyDescent="0.3">
      <c r="C790" t="s">
        <v>124</v>
      </c>
      <c r="D790">
        <v>378</v>
      </c>
      <c r="E790">
        <v>35</v>
      </c>
      <c r="F790">
        <v>2.5</v>
      </c>
      <c r="G790">
        <v>4</v>
      </c>
      <c r="H790">
        <v>1</v>
      </c>
      <c r="I790" s="2">
        <v>25</v>
      </c>
      <c r="J790" t="s">
        <v>211</v>
      </c>
      <c r="K790" t="s">
        <v>309</v>
      </c>
      <c r="L790" t="s">
        <v>27</v>
      </c>
    </row>
    <row r="791" spans="3:13" ht="14.25" customHeight="1" x14ac:dyDescent="0.3"/>
    <row r="792" spans="3:13" ht="14.25" customHeight="1" x14ac:dyDescent="0.3"/>
    <row r="793" spans="3:13" ht="14.25" customHeight="1" x14ac:dyDescent="0.3"/>
    <row r="794" spans="3:13" ht="14.25" customHeight="1" x14ac:dyDescent="0.3"/>
    <row r="795" spans="3:13" ht="14.25" customHeight="1" x14ac:dyDescent="0.3"/>
    <row r="796" spans="3:13" ht="14.25" customHeight="1" x14ac:dyDescent="0.3"/>
    <row r="797" spans="3:13" ht="14.25" customHeight="1" x14ac:dyDescent="0.3"/>
    <row r="798" spans="3:13" ht="14.25" customHeight="1" x14ac:dyDescent="0.3"/>
    <row r="799" spans="3:13" ht="14.25" customHeight="1" x14ac:dyDescent="0.3"/>
    <row r="800" spans="3:13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</dc:creator>
  <dc:description/>
  <cp:lastModifiedBy>Samuel UN</cp:lastModifiedBy>
  <cp:revision>6</cp:revision>
  <dcterms:created xsi:type="dcterms:W3CDTF">2022-02-01T18:17:11Z</dcterms:created>
  <dcterms:modified xsi:type="dcterms:W3CDTF">2025-05-06T08:56:19Z</dcterms:modified>
  <dc:language>es-ES</dc:language>
</cp:coreProperties>
</file>